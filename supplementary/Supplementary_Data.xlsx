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udies" sheetId="2" state="visible" r:id="rId4"/>
    <sheet name="eqa_yearly" sheetId="3" state="visible" r:id="rId5"/>
    <sheet name="eqa_provider_yearly" sheetId="4" state="visible" r:id="rId6"/>
    <sheet name="eqa_participations" sheetId="5" state="visible" r:id="rId7"/>
    <sheet name="eqa_transitions" sheetId="6" state="visible" r:id="rId8"/>
    <sheet name="eqa_methods" sheetId="7" state="visible" r:id="rId9"/>
    <sheet name="eqa_genes" sheetId="8" state="visible" r:id="rId10"/>
    <sheet name="eqa_error_types" sheetId="9" state="visible" r:id="rId11"/>
    <sheet name="eqa_returning_variants" sheetId="10" state="visible" r:id="rId12"/>
    <sheet name="manuscript_criteria" sheetId="11" state="visible" r:id="rId13"/>
    <sheet name="findability" sheetId="12" state="visible" r:id="rId14"/>
    <sheet name="tool_agreement" sheetId="13" state="visible" r:id="rId15"/>
    <sheet name="journal_pilot" sheetId="14" state="visible" r:id="rId16"/>
    <sheet name="mutalyzer_assessments" sheetId="15" state="visible" r:id="rId17"/>
    <sheet name="hgvs_versions" sheetId="16" state="visible" r:id="rId18"/>
    <sheet name="its_serie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<sst xmlns="http://schemas.openxmlformats.org/spreadsheetml/2006/main" count="563" uniqueCount="303">
  <si>
    <t xml:space="preserve">Supplementary Data</t>
  </si>
  <si>
    <t xml:space="preserve">HGVS nomenclature compliance in clinical variant literature, 2010–2026: meta-analysis and interrupted time series</t>
  </si>
  <si>
    <t xml:space="preserve">Prepared 22 October 2026. Companion to the main manuscript, Supplementary Information, analysis.py and analysis_supplementary.py.</t>
  </si>
  <si>
    <t xml:space="preserve">Conventions</t>
  </si>
  <si>
    <t xml:space="preserve">Blue values are counts or denominators taken from the cited paper (or back-computed from its percentage and denominator, see each sheet note).</t>
  </si>
  <si>
    <t xml:space="preserve">Black values in the proportion / wilson_lo / wilson_hi columns are formulas (Wilson score 95% interval, z = 1.959964) and recalculate if a count is changed.</t>
  </si>
  <si>
    <t xml:space="preserve">Percent columns copied from a paper are stored as reported (e.g., 12.1 means 12.1%); proportion columns are fractions.</t>
  </si>
  <si>
    <t xml:space="preserve">Sheets</t>
  </si>
  <si>
    <t xml:space="preserve">studies — study-level estimates entering Figure 1 (forest plot)</t>
  </si>
  <si>
    <t xml:space="preserve">eqa_yearly — total EQA series by scheme year (interrupted time series, Figure 2)</t>
  </si>
  <si>
    <t xml:space="preserve">eqa_provider_yearly — the four provider–indication sub-series (Figure 3, Figure S1)</t>
  </si>
  <si>
    <t xml:space="preserve">eqa_participations — compliance by number of successive EQA participations (Figure S3)</t>
  </si>
  <si>
    <t xml:space="preserve">eqa_transitions — compliance conditional on the previous scheme result</t>
  </si>
  <si>
    <t xml:space="preserve">eqa_methods — compliance by test method</t>
  </si>
  <si>
    <t xml:space="preserve">eqa_genes — compliance and serious errors by gene</t>
  </si>
  <si>
    <t xml:space="preserve">eqa_error_types — composition of EQA outcomes</t>
  </si>
  <si>
    <t xml:space="preserve">eqa_returning_variants — variants distributed in more than one scheme year (Figure S4)</t>
  </si>
  <si>
    <t xml:space="preserve">manuscript_criteria — rubric results for 52 Genetics in Medicine / GIM Open manuscripts (Figure S5)</t>
  </si>
  <si>
    <t xml:space="preserve">findability — 18 published variants searched in three tools (Figure S6)</t>
  </si>
  <si>
    <t xml:space="preserve">tool_agreement — agreement of HGVS descriptions between annotation tools and ClinVar</t>
  </si>
  <si>
    <t xml:space="preserve">journal_pilot — HUGO pilot of validation-file requirements at two journals</t>
  </si>
  <si>
    <t xml:space="preserve">mutalyzer_assessments — Name Checker outcome composition</t>
  </si>
  <si>
    <t xml:space="preserve">hgvs_versions — complete HGVS Nomenclature release log</t>
  </si>
  <si>
    <t xml:space="preserve">its_series — observed, fitted and counterfactual values of the main ITS model</t>
  </si>
  <si>
    <t xml:space="preserve">studies</t>
  </si>
  <si>
    <t xml:space="preserve">Source: as listed in the source column of each row</t>
  </si>
  <si>
    <t xml:space="preserve">events back-computed from the published percentage × n where the paper reports only a percentage (Keppens 490; Lefter 13.1M; Chen 96,294 and 138,287; Berwouts 139)</t>
  </si>
  <si>
    <t xml:space="preserve">study</t>
  </si>
  <si>
    <t xml:space="preserve">year_pub</t>
  </si>
  <si>
    <t xml:space="preserve">period</t>
  </si>
  <si>
    <t xml:space="preserve">stratum</t>
  </si>
  <si>
    <t xml:space="preserve">unit</t>
  </si>
  <si>
    <t xml:space="preserve">outcome</t>
  </si>
  <si>
    <t xml:space="preserve">events</t>
  </si>
  <si>
    <t xml:space="preserve">n</t>
  </si>
  <si>
    <t xml:space="preserve">source</t>
  </si>
  <si>
    <t xml:space="preserve">proportion</t>
  </si>
  <si>
    <t xml:space="preserve">wilson_lo</t>
  </si>
  <si>
    <t xml:space="preserve">wilson_hi</t>
  </si>
  <si>
    <t xml:space="preserve">Berwouts 2011</t>
  </si>
  <si>
    <t xml:space="preserve">CF EQA scheme reports (scheme years not stated by the citing source)</t>
  </si>
  <si>
    <t xml:space="preserve">Clinical reports (EQA)</t>
  </si>
  <si>
    <t xml:space="preserve">report</t>
  </si>
  <si>
    <t xml:space="preserve">Fully HGVS-compliant nomenclature</t>
  </si>
  <si>
    <t xml:space="preserve">https://pmc.ncbi.nlm.nih.gov/articles/PMC6973115</t>
  </si>
  <si>
    <t xml:space="preserve">Keppens 2020</t>
  </si>
  <si>
    <t xml:space="preserve">ESP + Gen&amp;Tiss EQA 2012-2018</t>
  </si>
  <si>
    <t xml:space="preserve">variant entry</t>
  </si>
  <si>
    <t xml:space="preserve">Lansdon 2026</t>
  </si>
  <si>
    <t xml:space="preserve">GIM/GIMO submissions 2023-2024</t>
  </si>
  <si>
    <t xml:space="preserve">Journal manuscripts</t>
  </si>
  <si>
    <t xml:space="preserve">manuscript</t>
  </si>
  <si>
    <t xml:space="preserve">No critical nomenclature error</t>
  </si>
  <si>
    <t xml:space="preserve">https://academic.oup.com/clinchem/article/72/6/652/8510568</t>
  </si>
  <si>
    <t xml:space="preserve">Lansdon 2026 (c.)</t>
  </si>
  <si>
    <t xml:space="preserve">Journal manuscripts (element)</t>
  </si>
  <si>
    <t xml:space="preserve">c. descriptions HGVS-compliant</t>
  </si>
  <si>
    <t xml:space="preserve">Lansdon 2026 (p.)</t>
  </si>
  <si>
    <t xml:space="preserve">p. descriptions without any error</t>
  </si>
  <si>
    <t xml:space="preserve">Lansdon 2026 (ref seq)</t>
  </si>
  <si>
    <t xml:space="preserve">Reference sequence provided</t>
  </si>
  <si>
    <t xml:space="preserve">Keppens 2020 (ref seq)</t>
  </si>
  <si>
    <t xml:space="preserve">Clinical reports (element)</t>
  </si>
  <si>
    <t xml:space="preserve">Any reference sequence provided</t>
  </si>
  <si>
    <t xml:space="preserve">Keppens 2020 (ref seq current)</t>
  </si>
  <si>
    <t xml:space="preserve">LRG/NM reference with current version</t>
  </si>
  <si>
    <t xml:space="preserve">Lefter 2021 (Mutalyzer logs)</t>
  </si>
  <si>
    <t xml:space="preserve">Checker submissions Sep 2014-Oct 2019</t>
  </si>
  <si>
    <t xml:space="preserve">Checker submissions</t>
  </si>
  <si>
    <t xml:space="preserve">description</t>
  </si>
  <si>
    <t xml:space="preserve">Correct input (no error or warning)</t>
  </si>
  <si>
    <t xml:space="preserve">https://academic.oup.com/bioinformatics/article/37/18/2811/6128506</t>
  </si>
  <si>
    <t xml:space="preserve">Yen 2017 (c.)</t>
  </si>
  <si>
    <t xml:space="preserve">Ground-truth set, tools 2016</t>
  </si>
  <si>
    <t xml:space="preserve">Annotation tools</t>
  </si>
  <si>
    <t xml:space="preserve">variant</t>
  </si>
  <si>
    <t xml:space="preserve">SnpEff-VEP exact c. match</t>
  </si>
  <si>
    <t xml:space="preserve">https://pmc.ncbi.nlm.nih.gov/articles/PMC5267466</t>
  </si>
  <si>
    <t xml:space="preserve">Yen 2017 (p.)</t>
  </si>
  <si>
    <t xml:space="preserve">SnpEff-VEP exact p. match</t>
  </si>
  <si>
    <t xml:space="preserve">Chen 2025 (c.)</t>
  </si>
  <si>
    <t xml:space="preserve">ClinVar Jan 2024; 3 tools</t>
  </si>
  <si>
    <t xml:space="preserve">HGVSc identical across 3 tools (ClinVar transcript)</t>
  </si>
  <si>
    <t xml:space="preserve">https://www.biorxiv.org/content/10.1101/2024.10.11.617756.full.pdf</t>
  </si>
  <si>
    <t xml:space="preserve">Chen 2025 (p.)</t>
  </si>
  <si>
    <t xml:space="preserve">HGVSp identical across 3 tools (ClinVar transcript)</t>
  </si>
  <si>
    <t xml:space="preserve">eqa_yearly</t>
  </si>
  <si>
    <t xml:space="preserve">Source: Keppens et al. 2020, Hum Mutat 41:7, Table 3 (Total column); https://pmc.ncbi.nlm.nih.gov/articles/PMC6973115</t>
  </si>
  <si>
    <t xml:space="preserve">nomen_k and refseq_k back-computed as round(pct × n / 100)</t>
  </si>
  <si>
    <t xml:space="preserve">year</t>
  </si>
  <si>
    <t xml:space="preserve">nomen_pct</t>
  </si>
  <si>
    <t xml:space="preserve">nomen_k</t>
  </si>
  <si>
    <t xml:space="preserve">nomen_n</t>
  </si>
  <si>
    <t xml:space="preserve">refseq_pct</t>
  </si>
  <si>
    <t xml:space="preserve">refseq_k</t>
  </si>
  <si>
    <t xml:space="preserve">refseq_n</t>
  </si>
  <si>
    <t xml:space="preserve">eqa_provider_yearly</t>
  </si>
  <si>
    <t xml:space="preserve">Source: Keppens et al. 2020, Table 3 (provider columns); https://pmc.ncbi.nlm.nih.gov/articles/PMC6973115</t>
  </si>
  <si>
    <t xml:space="preserve">k columns back-computed as round(pct × n / 100); no ESP mCRC scheme in 2015; Gen&amp;Tiss series end in 2017</t>
  </si>
  <si>
    <t xml:space="preserve">provider</t>
  </si>
  <si>
    <t xml:space="preserve">indication</t>
  </si>
  <si>
    <t xml:space="preserve">ESP</t>
  </si>
  <si>
    <t xml:space="preserve">NSCLC</t>
  </si>
  <si>
    <t xml:space="preserve">mCRC</t>
  </si>
  <si>
    <t xml:space="preserve">Gen&amp;Tiss</t>
  </si>
  <si>
    <t xml:space="preserve">eqa_participations</t>
  </si>
  <si>
    <t xml:space="preserve">Source: Keppens et al. 2020, Table 3 (number of EQA participations); https://pmc.ncbi.nlm.nih.gov/articles/PMC6973115</t>
  </si>
  <si>
    <t xml:space="preserve">k columns back-computed</t>
  </si>
  <si>
    <t xml:space="preserve">participations</t>
  </si>
  <si>
    <t xml:space="preserve">eqa_transitions</t>
  </si>
  <si>
    <t xml:space="preserve">Source: Keppens et al. 2020, Table 3 (performance between two participations); https://pmc.ncbi.nlm.nih.gov/articles/PMC6973115</t>
  </si>
  <si>
    <t xml:space="preserve">k back-computed</t>
  </si>
  <si>
    <t xml:space="preserve">previous_result</t>
  </si>
  <si>
    <t xml:space="preserve">pct_compliant</t>
  </si>
  <si>
    <t xml:space="preserve">k</t>
  </si>
  <si>
    <t xml:space="preserve">Correct in previous scheme</t>
  </si>
  <si>
    <t xml:space="preserve">nomenclature</t>
  </si>
  <si>
    <t xml:space="preserve">Error in previous scheme</t>
  </si>
  <si>
    <t xml:space="preserve">reference sequence</t>
  </si>
  <si>
    <t xml:space="preserve">eqa_methods</t>
  </si>
  <si>
    <t xml:space="preserve">Source: Keppens et al. 2020, Figure 1 and text; https://pmc.ncbi.nlm.nih.gov/articles/PMC6973115</t>
  </si>
  <si>
    <t xml:space="preserve">k back-computed; overall NGS compliance in the text is 20.9% of 447</t>
  </si>
  <si>
    <t xml:space="preserve">method</t>
  </si>
  <si>
    <t xml:space="preserve">Commercial non-NGS</t>
  </si>
  <si>
    <t xml:space="preserve">Non-commercial non-NGS</t>
  </si>
  <si>
    <t xml:space="preserve">Commercial NGS</t>
  </si>
  <si>
    <t xml:space="preserve">Non-commercial NGS</t>
  </si>
  <si>
    <t xml:space="preserve">eqa_genes</t>
  </si>
  <si>
    <t xml:space="preserve">Source: Keppens et al. 2020, text (Table S1 of that paper); https://pmc.ncbi.nlm.nih.gov/articles/PMC6973115</t>
  </si>
  <si>
    <t xml:space="preserve">gene</t>
  </si>
  <si>
    <t xml:space="preserve">k_compliant</t>
  </si>
  <si>
    <t xml:space="preserve">pct_serious_error</t>
  </si>
  <si>
    <t xml:space="preserve">k_serious</t>
  </si>
  <si>
    <t xml:space="preserve">n_serious</t>
  </si>
  <si>
    <t xml:space="preserve">EGFR</t>
  </si>
  <si>
    <t xml:space="preserve">KRAS</t>
  </si>
  <si>
    <t xml:space="preserve">NRAS</t>
  </si>
  <si>
    <t xml:space="preserve">eqa_error_types</t>
  </si>
  <si>
    <t xml:space="preserve">Source: Keppens et al. 2020, Results 3.1; https://pmc.ncbi.nlm.nih.gov/articles/PMC6973115</t>
  </si>
  <si>
    <t xml:space="preserve">category</t>
  </si>
  <si>
    <t xml:space="preserve">pct</t>
  </si>
  <si>
    <t xml:space="preserve">n_total</t>
  </si>
  <si>
    <t xml:space="preserve">Fully compliant</t>
  </si>
  <si>
    <t xml:space="preserve">Type 1 clerical only (spaces; stop marks; brackets)</t>
  </si>
  <si>
    <t xml:space="preserve">Type 2 (prefix omitted; legacy name; wrong amino-acid code)</t>
  </si>
  <si>
    <t xml:space="preserve">Type 3 (only one level given)</t>
  </si>
  <si>
    <t xml:space="preserve">Combination of error types</t>
  </si>
  <si>
    <t xml:space="preserve">eqa_returning_variants</t>
  </si>
  <si>
    <t xml:space="preserve">Source: Keppens et al. 2020, Table 2; https://pmc.ncbi.nlm.nih.gov/articles/PMC6973115</t>
  </si>
  <si>
    <t xml:space="preserve">k back-computed; averaged percentages where a variant ran in both schemes in a year, as presented by the paper</t>
  </si>
  <si>
    <t xml:space="preserve">c.2155G&gt;A p.(Gly719Ser)</t>
  </si>
  <si>
    <t xml:space="preserve">c.2155G&gt;T p.(Gly719Cys)</t>
  </si>
  <si>
    <t xml:space="preserve">c.2235_2249del p.(Glu746_Ala750del)</t>
  </si>
  <si>
    <t xml:space="preserve">c.2236_2250del p.(Glu746_Ala750del)</t>
  </si>
  <si>
    <t xml:space="preserve">c.2303G&gt;T p.(Ser768Ile)</t>
  </si>
  <si>
    <t xml:space="preserve">c.2369C&gt;T p.(Thr790Met)</t>
  </si>
  <si>
    <t xml:space="preserve">c.2573T&gt;G p.(Leu858Arg)</t>
  </si>
  <si>
    <t xml:space="preserve">c.35G&gt;A p.(Gly12Asp)</t>
  </si>
  <si>
    <t xml:space="preserve">c.38G&gt;A p.(Gly13Asp)</t>
  </si>
  <si>
    <t xml:space="preserve">c.183A&gt;C p.(Gln61His)</t>
  </si>
  <si>
    <t xml:space="preserve">c.183A&gt;T p.(Gln61His)</t>
  </si>
  <si>
    <t xml:space="preserve">c.181C&gt;A p.(Gln61Lys)</t>
  </si>
  <si>
    <t xml:space="preserve">manuscript_criteria</t>
  </si>
  <si>
    <t xml:space="preserve">Source: Lansdon et al. 2026, Clin Chem 72:652, Table 1; https://academic.oup.com/clinchem/article/72/6/652/8510568</t>
  </si>
  <si>
    <t xml:space="preserve">n = critical + small + none for each criterion</t>
  </si>
  <si>
    <t xml:space="preserve">criterion</t>
  </si>
  <si>
    <t xml:space="preserve">critical</t>
  </si>
  <si>
    <t xml:space="preserve">small</t>
  </si>
  <si>
    <t xml:space="preserve">none</t>
  </si>
  <si>
    <t xml:space="preserve">any_error</t>
  </si>
  <si>
    <t xml:space="preserve">All gene symbols are italicized</t>
  </si>
  <si>
    <t xml:space="preserve">All gene symbols have a numeric identifier</t>
  </si>
  <si>
    <t xml:space="preserve">g. nomenclature is HGVS-compliant</t>
  </si>
  <si>
    <t xml:space="preserve">A reference sequence is provided</t>
  </si>
  <si>
    <t xml:space="preserve">c. nomenclature is HGVS-compliant</t>
  </si>
  <si>
    <t xml:space="preserve">p. nomenclature is HGVS-compliant</t>
  </si>
  <si>
    <t xml:space="preserve">A genome build has been specified</t>
  </si>
  <si>
    <t xml:space="preserve">ACMG/AMP variant scoring provided</t>
  </si>
  <si>
    <t xml:space="preserve">Variants classified per current standards</t>
  </si>
  <si>
    <t xml:space="preserve">CNVs list ISCN and/or HGVS nomenclature</t>
  </si>
  <si>
    <t xml:space="preserve">CNV size is indicated</t>
  </si>
  <si>
    <t xml:space="preserve">Relevant genes within the CNV are indicated</t>
  </si>
  <si>
    <t xml:space="preserve">findability</t>
  </si>
  <si>
    <t xml:space="preserve">Source: Lansdon et al. 2026, Results (Assessment of variant nomenclature); https://academic.oup.com/clinchem/article/72/6/652/8510568</t>
  </si>
  <si>
    <t xml:space="preserve">tool</t>
  </si>
  <si>
    <t xml:space="preserve">search_form</t>
  </si>
  <si>
    <t xml:space="preserve">found</t>
  </si>
  <si>
    <t xml:space="preserve">ClinVar</t>
  </si>
  <si>
    <t xml:space="preserve">exact nomenclature as published</t>
  </si>
  <si>
    <t xml:space="preserve">published nomenclature with p. dropped</t>
  </si>
  <si>
    <t xml:space="preserve">LitVar2</t>
  </si>
  <si>
    <t xml:space="preserve">gene symbol + c. only</t>
  </si>
  <si>
    <t xml:space="preserve">Franklin</t>
  </si>
  <si>
    <t xml:space="preserve">All three tools</t>
  </si>
  <si>
    <t xml:space="preserve">Any tool</t>
  </si>
  <si>
    <t xml:space="preserve">any search form</t>
  </si>
  <si>
    <t xml:space="preserve">tool_agreement</t>
  </si>
  <si>
    <t xml:space="preserve">Source: Yen et al. 2017 Genome Med 9:7 (PMC5267466); Chen et al. 2025 Hum Genomics 19:70 (bioRxiv 2024.10.11.617756)</t>
  </si>
  <si>
    <t xml:space="preserve">Chen et al. counts back-computed from match fractions × 164,549</t>
  </si>
  <si>
    <t xml:space="preserve">comparison</t>
  </si>
  <si>
    <t xml:space="preserve">level</t>
  </si>
  <si>
    <t xml:space="preserve">agree</t>
  </si>
  <si>
    <t xml:space="preserve">Yen 2017</t>
  </si>
  <si>
    <t xml:space="preserve">SnpEff vs VEP (ground-truth set)</t>
  </si>
  <si>
    <t xml:space="preserve">c.</t>
  </si>
  <si>
    <t xml:space="preserve">p.</t>
  </si>
  <si>
    <t xml:space="preserve">Chen 2025</t>
  </si>
  <si>
    <t xml:space="preserve">ANNOVAR vs SnpEff vs VEP (ClinVar transcript)</t>
  </si>
  <si>
    <t xml:space="preserve">ANNOVAR match to ClinVar HGVSc</t>
  </si>
  <si>
    <t xml:space="preserve">SnpEff match to ClinVar HGVSc</t>
  </si>
  <si>
    <t xml:space="preserve">VEP match to ClinVar HGVSc</t>
  </si>
  <si>
    <t xml:space="preserve">ANNOVAR match to ClinVar HGVSp</t>
  </si>
  <si>
    <t xml:space="preserve">SnpEff match to ClinVar HGVSp</t>
  </si>
  <si>
    <t xml:space="preserve">VEP match to ClinVar HGVSp</t>
  </si>
  <si>
    <t xml:space="preserve">journal_pilot</t>
  </si>
  <si>
    <t xml:space="preserve">Source: Higgins et al. 2021, Hum Mutat 42:3 (accepted manuscript, Cardiff ORCA)</t>
  </si>
  <si>
    <t xml:space="preserve">journal</t>
  </si>
  <si>
    <t xml:space="preserve">stage</t>
  </si>
  <si>
    <t xml:space="preserve">with_variants</t>
  </si>
  <si>
    <t xml:space="preserve">with_validation_file</t>
  </si>
  <si>
    <t xml:space="preserve">returned_for_errors</t>
  </si>
  <si>
    <t xml:space="preserve">Human Mutation</t>
  </si>
  <si>
    <t xml:space="preserve">initial submission</t>
  </si>
  <si>
    <t xml:space="preserve">6 months from April 2019</t>
  </si>
  <si>
    <t xml:space="preserve">revision</t>
  </si>
  <si>
    <t xml:space="preserve">Genetics in Medicine</t>
  </si>
  <si>
    <t xml:space="preserve">3 months from April 2019</t>
  </si>
  <si>
    <t xml:space="preserve">mutalyzer_assessments</t>
  </si>
  <si>
    <t xml:space="preserve">Source: Lefter et al. 2021, Bioinformatics 37:2811, Figure 3 and Section 6.2</t>
  </si>
  <si>
    <t xml:space="preserve">assessment</t>
  </si>
  <si>
    <t xml:space="preserve">Correct with no warning</t>
  </si>
  <si>
    <t xml:space="preserve">Correct with warnings</t>
  </si>
  <si>
    <t xml:space="preserve">Syntactically incorrect</t>
  </si>
  <si>
    <t xml:space="preserve">Failed semantic analysis</t>
  </si>
  <si>
    <t xml:space="preserve">Corrected or canonized by Mutalyzer</t>
  </si>
  <si>
    <t xml:space="preserve">hgvs_versions</t>
  </si>
  <si>
    <t xml:space="preserve">Source: hgvs-nomenclature.org version pages (accessed 20 Oct 2026); den Dunnen et al. 2016</t>
  </si>
  <si>
    <t xml:space="preserve">date</t>
  </si>
  <si>
    <t xml:space="preserve">version</t>
  </si>
  <si>
    <t xml:space="preserve">type</t>
  </si>
  <si>
    <t xml:space="preserve">change</t>
  </si>
  <si>
    <t xml:space="preserve">2026-09-17</t>
  </si>
  <si>
    <t xml:space="preserve">21.1.5</t>
  </si>
  <si>
    <t xml:space="preserve">patch</t>
  </si>
  <si>
    <t xml:space="preserve">No rule change listed</t>
  </si>
  <si>
    <t xml:space="preserve">2026-05-11</t>
  </si>
  <si>
    <t xml:space="preserve">21.1.4</t>
  </si>
  <si>
    <t xml:space="preserve">Repeat lengths divisible by three only within CDS; SVD-WG011 added; ISCN documentation improved</t>
  </si>
  <si>
    <t xml:space="preserve">2025-06-13</t>
  </si>
  <si>
    <t xml:space="preserve">21.1.3</t>
  </si>
  <si>
    <t xml:space="preserve">X for unknown amino acid replaced by Xaa; negative examples highlighted</t>
  </si>
  <si>
    <t xml:space="preserve">2025-03-10</t>
  </si>
  <si>
    <t xml:space="preserve">21.1.2</t>
  </si>
  <si>
    <t xml:space="preserve">SVD-WG010 rejected; history updated</t>
  </si>
  <si>
    <t xml:space="preserve">2025-01-03</t>
  </si>
  <si>
    <t xml:space="preserve">21.1.1</t>
  </si>
  <si>
    <t xml:space="preserve">Reference sequence wording clarified on substitution page</t>
  </si>
  <si>
    <t xml:space="preserve">2024-11-16</t>
  </si>
  <si>
    <t xml:space="preserve">21.1.0</t>
  </si>
  <si>
    <t xml:space="preserve">minor</t>
  </si>
  <si>
    <t xml:space="preserve">Fusion (adjoined transcript) recommendations organized; spaces not permitted; LOVD syntax checker listed</t>
  </si>
  <si>
    <t xml:space="preserve">2024-08-15</t>
  </si>
  <si>
    <t xml:space="preserve">21.0.4</t>
  </si>
  <si>
    <t xml:space="preserve">Coding/non-coding identity handling changed; MIT licence</t>
  </si>
  <si>
    <t xml:space="preserve">2024-07-19</t>
  </si>
  <si>
    <t xml:space="preserve">21.0.3</t>
  </si>
  <si>
    <t xml:space="preserve">Numbering diagram; supernumerary chromosome description fixed</t>
  </si>
  <si>
    <t xml:space="preserve">2024-03-15</t>
  </si>
  <si>
    <t xml:space="preserve">21.0.2</t>
  </si>
  <si>
    <t xml:space="preserve">syntax.yaml updated</t>
  </si>
  <si>
    <t xml:space="preserve">2024-02-22</t>
  </si>
  <si>
    <t xml:space="preserve">21.0.1</t>
  </si>
  <si>
    <t xml:space="preserve">indel removed except where listed as not to be used</t>
  </si>
  <si>
    <t xml:space="preserve">2024-01</t>
  </si>
  <si>
    <t xml:space="preserve">21.0.0</t>
  </si>
  <si>
    <t xml:space="preserve">major</t>
  </si>
  <si>
    <t xml:space="preserve">Semantic versioning; new site hgvs-nomenclature.org; HVNC under HUGO; formal grammar; syntax summary; fusion rules aligned with VICC/HGNC/ISCN</t>
  </si>
  <si>
    <t xml:space="preserve">2020-05</t>
  </si>
  <si>
    <t xml:space="preserve">20.05</t>
  </si>
  <si>
    <t xml:space="preserve">dated</t>
  </si>
  <si>
    <t xml:space="preserve">Adjoined transcripts for gene fusions (SVD-WG007); acceptable reference sequences (SVD-WG008)</t>
  </si>
  <si>
    <t xml:space="preserve">2019-01</t>
  </si>
  <si>
    <t xml:space="preserve">19.01</t>
  </si>
  <si>
    <t xml:space="preserve">Circular DNA (SVD-WG006); methylation gom/lom (SVD-WG005); ISCN named extension (SVD-WG004)</t>
  </si>
  <si>
    <t xml:space="preserve">2015-11</t>
  </si>
  <si>
    <t xml:space="preserve">15.11</t>
  </si>
  <si>
    <t xml:space="preserve">First YY.MM version; '=' for no change (SVD-WG001); n. coordinates (SVD-WG002); published as the 2016 update (Hum Mutat 37:564)</t>
  </si>
  <si>
    <t xml:space="preserve">2012-11-01</t>
  </si>
  <si>
    <t xml:space="preserve">2.121101</t>
  </si>
  <si>
    <t xml:space="preserve">Stop-loss with no new stop (ext?); frameshift with unknown stop (fs*?)</t>
  </si>
  <si>
    <t xml:space="preserve">2012-08-31</t>
  </si>
  <si>
    <t xml:space="preserve">2.120831</t>
  </si>
  <si>
    <t xml:space="preserve">Parentheses may be omitted with experimental evidence; upstream start codon p.Met1ext-5</t>
  </si>
  <si>
    <t xml:space="preserve">2000</t>
  </si>
  <si>
    <t xml:space="preserve">1</t>
  </si>
  <si>
    <t xml:space="preserve">publication</t>
  </si>
  <si>
    <t xml:space="preserve">den Dunnen &amp; Antonarakis 2000 (Hum Mutat 15:7)</t>
  </si>
  <si>
    <t xml:space="preserve">its_series</t>
  </si>
  <si>
    <t xml:space="preserve">Source: computed by src/analysis.py (segmented binomial model, break 2016)</t>
  </si>
  <si>
    <t xml:space="preserve">fitted = model with level and slope change at 2016; counterfactual = pre-2016 model projected forward</t>
  </si>
  <si>
    <t xml:space="preserve">observed</t>
  </si>
  <si>
    <t xml:space="preserve">fitted</t>
  </si>
  <si>
    <t xml:space="preserve">counterfactual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</si>
</sst>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  <row r="23" customFormat="false" ht="15" hidden="false" customHeight="false" outlineLevel="0" collapsed="false">
      <c r="A23" s="2" t="s">
        <v>20</v>
      </c>
    </row>
    <row r="24" customFormat="false" ht="15" hidden="false" customHeight="false" outlineLevel="0" collapsed="false">
      <c r="A24" s="2" t="s">
        <v>21</v>
      </c>
    </row>
    <row r="25" customFormat="false" ht="15" hidden="false" customHeight="false" outlineLevel="0" collapsed="false">
      <c r="A25" s="2" t="s">
        <v>22</v>
      </c>
    </row>
    <row r="26" customFormat="false" ht="15" hidden="false" customHeight="false" outlineLevel="0" collapsed="false">
      <c r="A26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31"/>
    <col collapsed="false" customWidth="true" hidden="false" outlineLevel="0" max="5" min="5" style="0" width="15"/>
    <col collapsed="false" customWidth="true" hidden="false" outlineLevel="0" max="6" min="6" style="0" width="53"/>
    <col collapsed="false" customWidth="true" hidden="false" outlineLevel="0" max="8" min="7" style="0" width="10"/>
    <col collapsed="false" customWidth="true" hidden="false" outlineLevel="0" max="9" min="9" style="0" width="60"/>
    <col collapsed="false" customWidth="true" hidden="false" outlineLevel="0" max="12" min="10" style="0" width="12"/>
  </cols>
  <sheetData>
    <row r="1" customFormat="false" ht="15" hidden="false" customHeight="false" outlineLevel="0" collapsed="false">
      <c r="A1" s="4" t="s">
        <v>24</v>
      </c>
    </row>
    <row r="2" customFormat="false" ht="15" hidden="false" customHeight="false" outlineLevel="0" collapsed="false">
      <c r="A2" s="5" t="s">
        <v>25</v>
      </c>
    </row>
    <row r="3" customFormat="false" ht="15" hidden="false" customHeight="false" outlineLevel="0" collapsed="false">
      <c r="A3" s="5" t="s">
        <v>26</v>
      </c>
    </row>
    <row r="4" customFormat="false" ht="1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</row>
    <row r="5" customFormat="false" ht="15" hidden="false" customHeight="false" outlineLevel="0" collapsed="false">
      <c r="A5" s="2" t="s">
        <v>39</v>
      </c>
      <c r="B5" s="2" t="n">
        <v>2011</v>
      </c>
      <c r="C5" s="2" t="s">
        <v>40</v>
      </c>
      <c r="D5" s="2" t="s">
        <v>41</v>
      </c>
      <c r="E5" s="2" t="s">
        <v>42</v>
      </c>
      <c r="F5" s="2" t="s">
        <v>43</v>
      </c>
      <c r="G5" s="7" t="n">
        <v>139</v>
      </c>
      <c r="H5" s="7" t="n">
        <v>631</v>
      </c>
      <c r="I5" s="2" t="s">
        <v>44</v>
      </c>
      <c r="J5" s="8" t="n">
        <f aca="false">IF(H5&gt;0,G5/H5,"")</f>
        <v>0.220285261489699</v>
      </c>
      <c r="K5" s="8" t="n">
        <f aca="false">IF(H5&gt;0,MAX(0,((G5/H5)+1.959964^2/(2*H5))/(1+1.959964^2/H5)-(1.959964*SQRT((G5/H5)*(1-G5/H5)/H5+1.959964^2/(4*H5^2)))/(1+1.959964^2/H5)),"")</f>
        <v>0.189694839011625</v>
      </c>
      <c r="L5" s="8" t="n">
        <f aca="false">IF(H5&gt;0,MIN(1,((G5/H5)+1.959964^2/(2*H5))/(1+1.959964^2/H5)+(1.959964*SQRT((G5/H5)*(1-G5/H5)/H5+1.959964^2/(4*H5^2)))/(1+1.959964^2/H5)),"")</f>
        <v>0.254260821001429</v>
      </c>
    </row>
    <row r="6" customFormat="false" ht="15" hidden="false" customHeight="false" outlineLevel="0" collapsed="false">
      <c r="A6" s="2" t="s">
        <v>45</v>
      </c>
      <c r="B6" s="2" t="n">
        <v>2020</v>
      </c>
      <c r="C6" s="2" t="s">
        <v>46</v>
      </c>
      <c r="D6" s="2" t="s">
        <v>41</v>
      </c>
      <c r="E6" s="2" t="s">
        <v>47</v>
      </c>
      <c r="F6" s="2" t="s">
        <v>43</v>
      </c>
      <c r="G6" s="7" t="n">
        <v>490</v>
      </c>
      <c r="H6" s="7" t="n">
        <v>4053</v>
      </c>
      <c r="I6" s="2" t="s">
        <v>44</v>
      </c>
      <c r="J6" s="8" t="n">
        <f aca="false">IF(H6&gt;0,G6/H6,"")</f>
        <v>0.120898100172712</v>
      </c>
      <c r="K6" s="8" t="n">
        <f aca="false">IF(H6&gt;0,MAX(0,((G6/H6)+1.959964^2/(2*H6))/(1+1.959964^2/H6)-(1.959964*SQRT((G6/H6)*(1-G6/H6)/H6+1.959964^2/(4*H6^2)))/(1+1.959964^2/H6)),"")</f>
        <v>0.111218749190899</v>
      </c>
      <c r="L6" s="8" t="n">
        <f aca="false">IF(H6&gt;0,MIN(1,((G6/H6)+1.959964^2/(2*H6))/(1+1.959964^2/H6)+(1.959964*SQRT((G6/H6)*(1-G6/H6)/H6+1.959964^2/(4*H6^2)))/(1+1.959964^2/H6)),"")</f>
        <v>0.131295401005297</v>
      </c>
    </row>
    <row r="7" customFormat="false" ht="15" hidden="false" customHeight="false" outlineLevel="0" collapsed="false">
      <c r="A7" s="2" t="s">
        <v>48</v>
      </c>
      <c r="B7" s="2" t="n">
        <v>2026</v>
      </c>
      <c r="C7" s="2" t="s">
        <v>49</v>
      </c>
      <c r="D7" s="2" t="s">
        <v>50</v>
      </c>
      <c r="E7" s="2" t="s">
        <v>51</v>
      </c>
      <c r="F7" s="2" t="s">
        <v>52</v>
      </c>
      <c r="G7" s="7" t="n">
        <v>0</v>
      </c>
      <c r="H7" s="7" t="n">
        <v>52</v>
      </c>
      <c r="I7" s="2" t="s">
        <v>53</v>
      </c>
      <c r="J7" s="8" t="n">
        <f aca="false">IF(H7&gt;0,G7/H7,"")</f>
        <v>0</v>
      </c>
      <c r="K7" s="8" t="n">
        <f aca="false">IF(H7&gt;0,MAX(0,((G7/H7)+1.959964^2/(2*H7))/(1+1.959964^2/H7)-(1.959964*SQRT((G7/H7)*(1-G7/H7)/H7+1.959964^2/(4*H7^2)))/(1+1.959964^2/H7)),"")</f>
        <v>0</v>
      </c>
      <c r="L7" s="8" t="n">
        <f aca="false">IF(H7&gt;0,MIN(1,((G7/H7)+1.959964^2/(2*H7))/(1+1.959964^2/H7)+(1.959964*SQRT((G7/H7)*(1-G7/H7)/H7+1.959964^2/(4*H7^2)))/(1+1.959964^2/H7)),"")</f>
        <v>0.0687922371344544</v>
      </c>
    </row>
    <row r="8" customFormat="false" ht="15" hidden="false" customHeight="false" outlineLevel="0" collapsed="false">
      <c r="A8" s="2" t="s">
        <v>54</v>
      </c>
      <c r="B8" s="2" t="n">
        <v>2026</v>
      </c>
      <c r="C8" s="2" t="s">
        <v>49</v>
      </c>
      <c r="D8" s="2" t="s">
        <v>55</v>
      </c>
      <c r="E8" s="2" t="s">
        <v>51</v>
      </c>
      <c r="F8" s="2" t="s">
        <v>56</v>
      </c>
      <c r="G8" s="7" t="n">
        <v>16</v>
      </c>
      <c r="H8" s="7" t="n">
        <v>52</v>
      </c>
      <c r="I8" s="2" t="s">
        <v>53</v>
      </c>
      <c r="J8" s="8" t="n">
        <f aca="false">IF(H8&gt;0,G8/H8,"")</f>
        <v>0.307692307692308</v>
      </c>
      <c r="K8" s="8" t="n">
        <f aca="false">IF(H8&gt;0,MAX(0,((G8/H8)+1.959964^2/(2*H8))/(1+1.959964^2/H8)-(1.959964*SQRT((G8/H8)*(1-G8/H8)/H8+1.959964^2/(4*H8^2)))/(1+1.959964^2/H8)),"")</f>
        <v>0.199147278782216</v>
      </c>
      <c r="L8" s="8" t="n">
        <f aca="false">IF(H8&gt;0,MIN(1,((G8/H8)+1.959964^2/(2*H8))/(1+1.959964^2/H8)+(1.959964*SQRT((G8/H8)*(1-G8/H8)/H8+1.959964^2/(4*H8^2)))/(1+1.959964^2/H8)),"")</f>
        <v>0.44269588934642</v>
      </c>
    </row>
    <row r="9" customFormat="false" ht="15" hidden="false" customHeight="false" outlineLevel="0" collapsed="false">
      <c r="A9" s="2" t="s">
        <v>57</v>
      </c>
      <c r="B9" s="2" t="n">
        <v>2026</v>
      </c>
      <c r="C9" s="2" t="s">
        <v>49</v>
      </c>
      <c r="D9" s="2" t="s">
        <v>55</v>
      </c>
      <c r="E9" s="2" t="s">
        <v>51</v>
      </c>
      <c r="F9" s="2" t="s">
        <v>58</v>
      </c>
      <c r="G9" s="7" t="n">
        <v>13</v>
      </c>
      <c r="H9" s="7" t="n">
        <v>52</v>
      </c>
      <c r="I9" s="2" t="s">
        <v>53</v>
      </c>
      <c r="J9" s="8" t="n">
        <f aca="false">IF(H9&gt;0,G9/H9,"")</f>
        <v>0.25</v>
      </c>
      <c r="K9" s="8" t="n">
        <f aca="false">IF(H9&gt;0,MAX(0,((G9/H9)+1.959964^2/(2*H9))/(1+1.959964^2/H9)-(1.959964*SQRT((G9/H9)*(1-G9/H9)/H9+1.959964^2/(4*H9^2)))/(1+1.959964^2/H9)),"")</f>
        <v>0.152331538025969</v>
      </c>
      <c r="L9" s="8" t="n">
        <f aca="false">IF(H9&gt;0,MIN(1,((G9/H9)+1.959964^2/(2*H9))/(1+1.959964^2/H9)+(1.959964*SQRT((G9/H9)*(1-G9/H9)/H9+1.959964^2/(4*H9^2)))/(1+1.959964^2/H9)),"")</f>
        <v>0.382064580541258</v>
      </c>
    </row>
    <row r="10" customFormat="false" ht="15" hidden="false" customHeight="false" outlineLevel="0" collapsed="false">
      <c r="A10" s="2" t="s">
        <v>59</v>
      </c>
      <c r="B10" s="2" t="n">
        <v>2026</v>
      </c>
      <c r="C10" s="2" t="s">
        <v>49</v>
      </c>
      <c r="D10" s="2" t="s">
        <v>55</v>
      </c>
      <c r="E10" s="2" t="s">
        <v>51</v>
      </c>
      <c r="F10" s="2" t="s">
        <v>60</v>
      </c>
      <c r="G10" s="7" t="n">
        <v>27</v>
      </c>
      <c r="H10" s="7" t="n">
        <v>52</v>
      </c>
      <c r="I10" s="2" t="s">
        <v>53</v>
      </c>
      <c r="J10" s="8" t="n">
        <f aca="false">IF(H10&gt;0,G10/H10,"")</f>
        <v>0.519230769230769</v>
      </c>
      <c r="K10" s="8" t="n">
        <f aca="false">IF(H10&gt;0,MAX(0,((G10/H10)+1.959964^2/(2*H10))/(1+1.959964^2/H10)-(1.959964*SQRT((G10/H10)*(1-G10/H10)/H10+1.959964^2/(4*H10^2)))/(1+1.959964^2/H10)),"")</f>
        <v>0.386856826698426</v>
      </c>
      <c r="L10" s="8" t="n">
        <f aca="false">IF(H10&gt;0,MIN(1,((G10/H10)+1.959964^2/(2*H10))/(1+1.959964^2/H10)+(1.959964*SQRT((G10/H10)*(1-G10/H10)/H10+1.959964^2/(4*H10^2)))/(1+1.959964^2/H10)),"")</f>
        <v>0.648958856488711</v>
      </c>
    </row>
    <row r="11" customFormat="false" ht="15" hidden="false" customHeight="false" outlineLevel="0" collapsed="false">
      <c r="A11" s="2" t="s">
        <v>61</v>
      </c>
      <c r="B11" s="2" t="n">
        <v>2020</v>
      </c>
      <c r="C11" s="2" t="s">
        <v>46</v>
      </c>
      <c r="D11" s="2" t="s">
        <v>62</v>
      </c>
      <c r="E11" s="2" t="s">
        <v>42</v>
      </c>
      <c r="F11" s="2" t="s">
        <v>63</v>
      </c>
      <c r="G11" s="7" t="n">
        <v>1007</v>
      </c>
      <c r="H11" s="7" t="n">
        <v>1792</v>
      </c>
      <c r="I11" s="2" t="s">
        <v>44</v>
      </c>
      <c r="J11" s="8" t="n">
        <f aca="false">IF(H11&gt;0,G11/H11,"")</f>
        <v>0.561941964285714</v>
      </c>
      <c r="K11" s="8" t="n">
        <f aca="false">IF(H11&gt;0,MAX(0,((G11/H11)+1.959964^2/(2*H11))/(1+1.959964^2/H11)-(1.959964*SQRT((G11/H11)*(1-G11/H11)/H11+1.959964^2/(4*H11^2)))/(1+1.959964^2/H11)),"")</f>
        <v>0.538862096298289</v>
      </c>
      <c r="L11" s="8" t="n">
        <f aca="false">IF(H11&gt;0,MIN(1,((G11/H11)+1.959964^2/(2*H11))/(1+1.959964^2/H11)+(1.959964*SQRT((G11/H11)*(1-G11/H11)/H11+1.959964^2/(4*H11^2)))/(1+1.959964^2/H11)),"")</f>
        <v>0.584756833926372</v>
      </c>
    </row>
    <row r="12" customFormat="false" ht="15" hidden="false" customHeight="false" outlineLevel="0" collapsed="false">
      <c r="A12" s="2" t="s">
        <v>64</v>
      </c>
      <c r="B12" s="2" t="n">
        <v>2020</v>
      </c>
      <c r="C12" s="2" t="s">
        <v>46</v>
      </c>
      <c r="D12" s="2" t="s">
        <v>62</v>
      </c>
      <c r="E12" s="2" t="s">
        <v>42</v>
      </c>
      <c r="F12" s="2" t="s">
        <v>65</v>
      </c>
      <c r="G12" s="7" t="n">
        <v>572</v>
      </c>
      <c r="H12" s="7" t="n">
        <v>1792</v>
      </c>
      <c r="I12" s="2" t="s">
        <v>44</v>
      </c>
      <c r="J12" s="8" t="n">
        <f aca="false">IF(H12&gt;0,G12/H12,"")</f>
        <v>0.319196428571429</v>
      </c>
      <c r="K12" s="8" t="n">
        <f aca="false">IF(H12&gt;0,MAX(0,((G12/H12)+1.959964^2/(2*H12))/(1+1.959964^2/H12)-(1.959964*SQRT((G12/H12)*(1-G12/H12)/H12+1.959964^2/(4*H12^2)))/(1+1.959964^2/H12)),"")</f>
        <v>0.298019452931969</v>
      </c>
      <c r="L12" s="8" t="n">
        <f aca="false">IF(H12&gt;0,MIN(1,((G12/H12)+1.959964^2/(2*H12))/(1+1.959964^2/H12)+(1.959964*SQRT((G12/H12)*(1-G12/H12)/H12+1.959964^2/(4*H12^2)))/(1+1.959964^2/H12)),"")</f>
        <v>0.341146912898751</v>
      </c>
    </row>
    <row r="13" customFormat="false" ht="15" hidden="false" customHeight="false" outlineLevel="0" collapsed="false">
      <c r="A13" s="2" t="s">
        <v>66</v>
      </c>
      <c r="B13" s="2" t="n">
        <v>2021</v>
      </c>
      <c r="C13" s="2" t="s">
        <v>67</v>
      </c>
      <c r="D13" s="2" t="s">
        <v>68</v>
      </c>
      <c r="E13" s="2" t="s">
        <v>69</v>
      </c>
      <c r="F13" s="2" t="s">
        <v>70</v>
      </c>
      <c r="G13" s="7" t="n">
        <v>13104000</v>
      </c>
      <c r="H13" s="7" t="n">
        <v>26000000</v>
      </c>
      <c r="I13" s="2" t="s">
        <v>71</v>
      </c>
      <c r="J13" s="8" t="n">
        <f aca="false">IF(H13&gt;0,G13/H13,"")</f>
        <v>0.504</v>
      </c>
      <c r="K13" s="8" t="n">
        <f aca="false">IF(H13&gt;0,MAX(0,((G13/H13)+1.959964^2/(2*H13))/(1+1.959964^2/H13)-(1.959964*SQRT((G13/H13)*(1-G13/H13)/H13+1.959964^2/(4*H13^2)))/(1+1.959964^2/H13)),"")</f>
        <v>0.503807815291046</v>
      </c>
      <c r="L13" s="8" t="n">
        <f aca="false">IF(H13&gt;0,MIN(1,((G13/H13)+1.959964^2/(2*H13))/(1+1.959964^2/H13)+(1.959964*SQRT((G13/H13)*(1-G13/H13)/H13+1.959964^2/(4*H13^2)))/(1+1.959964^2/H13)),"")</f>
        <v>0.504192183526967</v>
      </c>
    </row>
    <row r="14" customFormat="false" ht="15" hidden="false" customHeight="false" outlineLevel="0" collapsed="false">
      <c r="A14" s="2" t="s">
        <v>72</v>
      </c>
      <c r="B14" s="2" t="n">
        <v>2017</v>
      </c>
      <c r="C14" s="2" t="s">
        <v>73</v>
      </c>
      <c r="D14" s="2" t="s">
        <v>74</v>
      </c>
      <c r="E14" s="2" t="s">
        <v>75</v>
      </c>
      <c r="F14" s="2" t="s">
        <v>76</v>
      </c>
      <c r="G14" s="7" t="n">
        <v>100</v>
      </c>
      <c r="H14" s="7" t="n">
        <v>108</v>
      </c>
      <c r="I14" s="2" t="s">
        <v>77</v>
      </c>
      <c r="J14" s="8" t="n">
        <f aca="false">IF(H14&gt;0,G14/H14,"")</f>
        <v>0.925925925925926</v>
      </c>
      <c r="K14" s="8" t="n">
        <f aca="false">IF(H14&gt;0,MAX(0,((G14/H14)+1.959964^2/(2*H14))/(1+1.959964^2/H14)-(1.959964*SQRT((G14/H14)*(1-G14/H14)/H14+1.959964^2/(4*H14^2)))/(1+1.959964^2/H14)),"")</f>
        <v>0.860603237902448</v>
      </c>
      <c r="L14" s="8" t="n">
        <f aca="false">IF(H14&gt;0,MIN(1,((G14/H14)+1.959964^2/(2*H14))/(1+1.959964^2/H14)+(1.959964*SQRT((G14/H14)*(1-G14/H14)/H14+1.959964^2/(4*H14^2)))/(1+1.959964^2/H14)),"")</f>
        <v>0.961989751497351</v>
      </c>
    </row>
    <row r="15" customFormat="false" ht="15" hidden="false" customHeight="false" outlineLevel="0" collapsed="false">
      <c r="A15" s="2" t="s">
        <v>78</v>
      </c>
      <c r="B15" s="2" t="n">
        <v>2017</v>
      </c>
      <c r="C15" s="2" t="s">
        <v>73</v>
      </c>
      <c r="D15" s="2" t="s">
        <v>74</v>
      </c>
      <c r="E15" s="2" t="s">
        <v>75</v>
      </c>
      <c r="F15" s="2" t="s">
        <v>79</v>
      </c>
      <c r="G15" s="7" t="n">
        <v>81</v>
      </c>
      <c r="H15" s="7" t="n">
        <v>108</v>
      </c>
      <c r="I15" s="2" t="s">
        <v>77</v>
      </c>
      <c r="J15" s="8" t="n">
        <f aca="false">IF(H15&gt;0,G15/H15,"")</f>
        <v>0.75</v>
      </c>
      <c r="K15" s="8" t="n">
        <f aca="false">IF(H15&gt;0,MAX(0,((G15/H15)+1.959964^2/(2*H15))/(1+1.959964^2/H15)-(1.959964*SQRT((G15/H15)*(1-G15/H15)/H15+1.959964^2/(4*H15^2)))/(1+1.959964^2/H15)),"")</f>
        <v>0.660704648157573</v>
      </c>
      <c r="L15" s="8" t="n">
        <f aca="false">IF(H15&gt;0,MIN(1,((G15/H15)+1.959964^2/(2*H15))/(1+1.959964^2/H15)+(1.959964*SQRT((G15/H15)*(1-G15/H15)/H15+1.959964^2/(4*H15^2)))/(1+1.959964^2/H15)),"")</f>
        <v>0.822121671707527</v>
      </c>
    </row>
    <row r="16" customFormat="false" ht="15" hidden="false" customHeight="false" outlineLevel="0" collapsed="false">
      <c r="A16" s="2" t="s">
        <v>80</v>
      </c>
      <c r="B16" s="2" t="n">
        <v>2025</v>
      </c>
      <c r="C16" s="2" t="s">
        <v>81</v>
      </c>
      <c r="D16" s="2" t="s">
        <v>74</v>
      </c>
      <c r="E16" s="2" t="s">
        <v>75</v>
      </c>
      <c r="F16" s="2" t="s">
        <v>82</v>
      </c>
      <c r="G16" s="7" t="n">
        <v>96294</v>
      </c>
      <c r="H16" s="7" t="n">
        <v>164549</v>
      </c>
      <c r="I16" s="2" t="s">
        <v>83</v>
      </c>
      <c r="J16" s="8" t="n">
        <f aca="false">IF(H16&gt;0,G16/H16,"")</f>
        <v>0.585199545424159</v>
      </c>
      <c r="K16" s="8" t="n">
        <f aca="false">IF(H16&gt;0,MAX(0,((G16/H16)+1.959964^2/(2*H16))/(1+1.959964^2/H16)-(1.959964*SQRT((G16/H16)*(1-G16/H16)/H16+1.959964^2/(4*H16^2)))/(1+1.959964^2/H16)),"")</f>
        <v>0.582817062105465</v>
      </c>
      <c r="L16" s="8" t="n">
        <f aca="false">IF(H16&gt;0,MIN(1,((G16/H16)+1.959964^2/(2*H16))/(1+1.959964^2/H16)+(1.959964*SQRT((G16/H16)*(1-G16/H16)/H16+1.959964^2/(4*H16^2)))/(1+1.959964^2/H16)),"")</f>
        <v>0.587578050804247</v>
      </c>
    </row>
    <row r="17" customFormat="false" ht="15" hidden="false" customHeight="false" outlineLevel="0" collapsed="false">
      <c r="A17" s="2" t="s">
        <v>84</v>
      </c>
      <c r="B17" s="2" t="n">
        <v>2025</v>
      </c>
      <c r="C17" s="2" t="s">
        <v>81</v>
      </c>
      <c r="D17" s="2" t="s">
        <v>74</v>
      </c>
      <c r="E17" s="2" t="s">
        <v>75</v>
      </c>
      <c r="F17" s="2" t="s">
        <v>85</v>
      </c>
      <c r="G17" s="7" t="n">
        <v>138287</v>
      </c>
      <c r="H17" s="7" t="n">
        <v>164549</v>
      </c>
      <c r="I17" s="2" t="s">
        <v>83</v>
      </c>
      <c r="J17" s="8" t="n">
        <f aca="false">IF(H17&gt;0,G17/H17,"")</f>
        <v>0.840400123975229</v>
      </c>
      <c r="K17" s="8" t="n">
        <f aca="false">IF(H17&gt;0,MAX(0,((G17/H17)+1.959964^2/(2*H17))/(1+1.959964^2/H17)-(1.959964*SQRT((G17/H17)*(1-G17/H17)/H17+1.959964^2/(4*H17^2)))/(1+1.959964^2/H17)),"")</f>
        <v>0.83862264258459</v>
      </c>
      <c r="L17" s="8" t="n">
        <f aca="false">IF(H17&gt;0,MIN(1,((G17/H17)+1.959964^2/(2*H17))/(1+1.959964^2/H17)+(1.959964*SQRT((G17/H17)*(1-G17/H17)/H17+1.959964^2/(4*H17^2)))/(1+1.959964^2/H17)),"")</f>
        <v>0.842161712196624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10" min="8" style="0" width="12"/>
  </cols>
  <sheetData>
    <row r="1" customFormat="false" ht="15" hidden="false" customHeight="false" outlineLevel="0" collapsed="false">
      <c r="A1" s="4" t="s">
        <v>86</v>
      </c>
    </row>
    <row r="2" customFormat="false" ht="15" hidden="false" customHeight="false" outlineLevel="0" collapsed="false">
      <c r="A2" s="5" t="s">
        <v>87</v>
      </c>
    </row>
    <row r="3" customFormat="false" ht="15" hidden="false" customHeight="false" outlineLevel="0" collapsed="false">
      <c r="A3" s="5" t="s">
        <v>88</v>
      </c>
    </row>
    <row r="4" customFormat="false" ht="15" hidden="false" customHeight="false" outlineLevel="0" collapsed="false">
      <c r="A4" s="6" t="s">
        <v>89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6" t="s">
        <v>36</v>
      </c>
      <c r="I4" s="6" t="s">
        <v>37</v>
      </c>
      <c r="J4" s="6" t="s">
        <v>38</v>
      </c>
    </row>
    <row r="5" customFormat="false" ht="15" hidden="false" customHeight="false" outlineLevel="0" collapsed="false">
      <c r="A5" s="2" t="n">
        <v>2012</v>
      </c>
      <c r="B5" s="2" t="n">
        <v>2</v>
      </c>
      <c r="C5" s="7" t="n">
        <v>2</v>
      </c>
      <c r="D5" s="7" t="n">
        <v>94</v>
      </c>
      <c r="E5" s="2" t="n">
        <v>16.7</v>
      </c>
      <c r="F5" s="2" t="n">
        <v>17</v>
      </c>
      <c r="G5" s="2" t="n">
        <v>102</v>
      </c>
      <c r="H5" s="8" t="n">
        <f aca="false">IF(D5&gt;0,C5/D5,"")</f>
        <v>0.0212765957446809</v>
      </c>
      <c r="I5" s="8" t="n">
        <f aca="false">IF(D5&gt;0,MAX(0,((C5/D5)+1.959964^2/(2*D5))/(1+1.959964^2/D5)-(1.959964*SQRT((C5/D5)*(1-C5/D5)/D5+1.959964^2/(4*D5^2)))/(1+1.959964^2/D5)),"")</f>
        <v>0.00585433618649745</v>
      </c>
      <c r="J5" s="8" t="n">
        <f aca="false">IF(D5&gt;0,MIN(1,((C5/D5)+1.959964^2/(2*D5))/(1+1.959964^2/D5)+(1.959964*SQRT((C5/D5)*(1-C5/D5)/D5+1.959964^2/(4*D5^2)))/(1+1.959964^2/D5)),"")</f>
        <v>0.0742902055134529</v>
      </c>
    </row>
    <row r="6" customFormat="false" ht="15" hidden="false" customHeight="false" outlineLevel="0" collapsed="false">
      <c r="A6" s="2" t="n">
        <v>2013</v>
      </c>
      <c r="B6" s="2" t="n">
        <v>4</v>
      </c>
      <c r="C6" s="7" t="n">
        <v>12</v>
      </c>
      <c r="D6" s="7" t="n">
        <v>301</v>
      </c>
      <c r="E6" s="2" t="n">
        <v>33.1</v>
      </c>
      <c r="F6" s="2" t="n">
        <v>109</v>
      </c>
      <c r="G6" s="2" t="n">
        <v>330</v>
      </c>
      <c r="H6" s="8" t="n">
        <f aca="false">IF(D6&gt;0,C6/D6,"")</f>
        <v>0.0398671096345515</v>
      </c>
      <c r="I6" s="8" t="n">
        <f aca="false">IF(D6&gt;0,MAX(0,((C6/D6)+1.959964^2/(2*D6))/(1+1.959964^2/D6)-(1.959964*SQRT((C6/D6)*(1-C6/D6)/D6+1.959964^2/(4*D6^2)))/(1+1.959964^2/D6)),"")</f>
        <v>0.0229503316297631</v>
      </c>
      <c r="J6" s="8" t="n">
        <f aca="false">IF(D6&gt;0,MIN(1,((C6/D6)+1.959964^2/(2*D6))/(1+1.959964^2/D6)+(1.959964*SQRT((C6/D6)*(1-C6/D6)/D6+1.959964^2/(4*D6^2)))/(1+1.959964^2/D6)),"")</f>
        <v>0.0683806145724638</v>
      </c>
    </row>
    <row r="7" customFormat="false" ht="15" hidden="false" customHeight="false" outlineLevel="0" collapsed="false">
      <c r="A7" s="2" t="n">
        <v>2014</v>
      </c>
      <c r="B7" s="2" t="n">
        <v>4.2</v>
      </c>
      <c r="C7" s="7" t="n">
        <v>14</v>
      </c>
      <c r="D7" s="7" t="n">
        <v>334</v>
      </c>
      <c r="E7" s="2" t="n">
        <v>27.5</v>
      </c>
      <c r="F7" s="2" t="n">
        <v>98</v>
      </c>
      <c r="G7" s="2" t="n">
        <v>356</v>
      </c>
      <c r="H7" s="8" t="n">
        <f aca="false">IF(D7&gt;0,C7/D7,"")</f>
        <v>0.0419161676646707</v>
      </c>
      <c r="I7" s="8" t="n">
        <f aca="false">IF(D7&gt;0,MAX(0,((C7/D7)+1.959964^2/(2*D7))/(1+1.959964^2/D7)-(1.959964*SQRT((C7/D7)*(1-C7/D7)/D7+1.959964^2/(4*D7^2)))/(1+1.959964^2/D7)),"")</f>
        <v>0.0251302070065154</v>
      </c>
      <c r="J7" s="8" t="n">
        <f aca="false">IF(D7&gt;0,MIN(1,((C7/D7)+1.959964^2/(2*D7))/(1+1.959964^2/D7)+(1.959964*SQRT((C7/D7)*(1-C7/D7)/D7+1.959964^2/(4*D7^2)))/(1+1.959964^2/D7)),"")</f>
        <v>0.0691195010865455</v>
      </c>
    </row>
    <row r="8" customFormat="false" ht="15" hidden="false" customHeight="false" outlineLevel="0" collapsed="false">
      <c r="A8" s="2" t="n">
        <v>2015</v>
      </c>
      <c r="B8" s="2" t="n">
        <v>3.9</v>
      </c>
      <c r="C8" s="7" t="n">
        <v>8</v>
      </c>
      <c r="D8" s="7" t="n">
        <v>204</v>
      </c>
      <c r="E8" s="2" t="n">
        <v>35.9</v>
      </c>
      <c r="F8" s="2" t="n">
        <v>74</v>
      </c>
      <c r="G8" s="2" t="n">
        <v>206</v>
      </c>
      <c r="H8" s="8" t="n">
        <f aca="false">IF(D8&gt;0,C8/D8,"")</f>
        <v>0.0392156862745098</v>
      </c>
      <c r="I8" s="8" t="n">
        <f aca="false">IF(D8&gt;0,MAX(0,((C8/D8)+1.959964^2/(2*D8))/(1+1.959964^2/D8)-(1.959964*SQRT((C8/D8)*(1-C8/D8)/D8+1.959964^2/(4*D8^2)))/(1+1.959964^2/D8)),"")</f>
        <v>0.0200028537807604</v>
      </c>
      <c r="J8" s="8" t="n">
        <f aca="false">IF(D8&gt;0,MIN(1,((C8/D8)+1.959964^2/(2*D8))/(1+1.959964^2/D8)+(1.959964*SQRT((C8/D8)*(1-C8/D8)/D8+1.959964^2/(4*D8^2)))/(1+1.959964^2/D8)),"")</f>
        <v>0.0754615400321603</v>
      </c>
    </row>
    <row r="9" customFormat="false" ht="15" hidden="false" customHeight="false" outlineLevel="0" collapsed="false">
      <c r="A9" s="2" t="n">
        <v>2016</v>
      </c>
      <c r="B9" s="2" t="n">
        <v>17.4</v>
      </c>
      <c r="C9" s="7" t="n">
        <v>53</v>
      </c>
      <c r="D9" s="7" t="n">
        <v>305</v>
      </c>
      <c r="E9" s="2" t="n">
        <v>34.3</v>
      </c>
      <c r="F9" s="2" t="n">
        <v>105</v>
      </c>
      <c r="G9" s="2" t="n">
        <v>306</v>
      </c>
      <c r="H9" s="8" t="n">
        <f aca="false">IF(D9&gt;0,C9/D9,"")</f>
        <v>0.173770491803279</v>
      </c>
      <c r="I9" s="8" t="n">
        <f aca="false">IF(D9&gt;0,MAX(0,((C9/D9)+1.959964^2/(2*D9))/(1+1.959964^2/D9)-(1.959964*SQRT((C9/D9)*(1-C9/D9)/D9+1.959964^2/(4*D9^2)))/(1+1.959964^2/D9)),"")</f>
        <v>0.135374915575759</v>
      </c>
      <c r="J9" s="8" t="n">
        <f aca="false">IF(D9&gt;0,MIN(1,((C9/D9)+1.959964^2/(2*D9))/(1+1.959964^2/D9)+(1.959964*SQRT((C9/D9)*(1-C9/D9)/D9+1.959964^2/(4*D9^2)))/(1+1.959964^2/D9)),"")</f>
        <v>0.220281540908971</v>
      </c>
    </row>
    <row r="10" customFormat="false" ht="15" hidden="false" customHeight="false" outlineLevel="0" collapsed="false">
      <c r="A10" s="2" t="n">
        <v>2017</v>
      </c>
      <c r="B10" s="2" t="n">
        <v>27.6</v>
      </c>
      <c r="C10" s="7" t="n">
        <v>74</v>
      </c>
      <c r="D10" s="7" t="n">
        <v>268</v>
      </c>
      <c r="E10" s="2" t="n">
        <v>35</v>
      </c>
      <c r="F10" s="2" t="n">
        <v>100</v>
      </c>
      <c r="G10" s="2" t="n">
        <v>286</v>
      </c>
      <c r="H10" s="8" t="n">
        <f aca="false">IF(D10&gt;0,C10/D10,"")</f>
        <v>0.276119402985075</v>
      </c>
      <c r="I10" s="8" t="n">
        <f aca="false">IF(D10&gt;0,MAX(0,((C10/D10)+1.959964^2/(2*D10))/(1+1.959964^2/D10)-(1.959964*SQRT((C10/D10)*(1-C10/D10)/D10+1.959964^2/(4*D10^2)))/(1+1.959964^2/D10)),"")</f>
        <v>0.226042837559822</v>
      </c>
      <c r="J10" s="8" t="n">
        <f aca="false">IF(D10&gt;0,MIN(1,((C10/D10)+1.959964^2/(2*D10))/(1+1.959964^2/D10)+(1.959964*SQRT((C10/D10)*(1-C10/D10)/D10+1.959964^2/(4*D10^2)))/(1+1.959964^2/D10)),"")</f>
        <v>0.332523392573604</v>
      </c>
    </row>
    <row r="11" customFormat="false" ht="15" hidden="false" customHeight="false" outlineLevel="0" collapsed="false">
      <c r="A11" s="2" t="n">
        <v>2018</v>
      </c>
      <c r="B11" s="2" t="n">
        <v>22.3</v>
      </c>
      <c r="C11" s="7" t="n">
        <v>46</v>
      </c>
      <c r="D11" s="7" t="n">
        <v>206</v>
      </c>
      <c r="E11" s="2" t="n">
        <v>33</v>
      </c>
      <c r="F11" s="2" t="n">
        <v>68</v>
      </c>
      <c r="G11" s="2" t="n">
        <v>206</v>
      </c>
      <c r="H11" s="8" t="n">
        <f aca="false">IF(D11&gt;0,C11/D11,"")</f>
        <v>0.223300970873786</v>
      </c>
      <c r="I11" s="8" t="n">
        <f aca="false">IF(D11&gt;0,MAX(0,((C11/D11)+1.959964^2/(2*D11))/(1+1.959964^2/D11)-(1.959964*SQRT((C11/D11)*(1-C11/D11)/D11+1.959964^2/(4*D11^2)))/(1+1.959964^2/D11)),"")</f>
        <v>0.171791704259035</v>
      </c>
      <c r="J11" s="8" t="n">
        <f aca="false">IF(D11&gt;0,MIN(1,((C11/D11)+1.959964^2/(2*D11))/(1+1.959964^2/D11)+(1.959964*SQRT((C11/D11)*(1-C11/D11)/D11+1.959964^2/(4*D11^2)))/(1+1.959964^2/D11)),"")</f>
        <v>0.284941009058175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2" min="10" style="0" width="12"/>
  </cols>
  <sheetData>
    <row r="1" customFormat="false" ht="15" hidden="false" customHeight="false" outlineLevel="0" collapsed="false">
      <c r="A1" s="4" t="s">
        <v>96</v>
      </c>
    </row>
    <row r="2" customFormat="false" ht="15" hidden="false" customHeight="false" outlineLevel="0" collapsed="false">
      <c r="A2" s="5" t="s">
        <v>97</v>
      </c>
    </row>
    <row r="3" customFormat="false" ht="15" hidden="false" customHeight="false" outlineLevel="0" collapsed="false">
      <c r="A3" s="5" t="s">
        <v>98</v>
      </c>
    </row>
    <row r="4" customFormat="false" ht="15" hidden="false" customHeight="false" outlineLevel="0" collapsed="false">
      <c r="A4" s="6" t="s">
        <v>99</v>
      </c>
      <c r="B4" s="6" t="s">
        <v>100</v>
      </c>
      <c r="C4" s="6" t="s">
        <v>89</v>
      </c>
      <c r="D4" s="6" t="s">
        <v>90</v>
      </c>
      <c r="E4" s="6" t="s">
        <v>91</v>
      </c>
      <c r="F4" s="6" t="s">
        <v>92</v>
      </c>
      <c r="G4" s="6" t="s">
        <v>93</v>
      </c>
      <c r="H4" s="6" t="s">
        <v>94</v>
      </c>
      <c r="I4" s="6" t="s">
        <v>95</v>
      </c>
      <c r="J4" s="6" t="s">
        <v>36</v>
      </c>
      <c r="K4" s="6" t="s">
        <v>37</v>
      </c>
      <c r="L4" s="6" t="s">
        <v>38</v>
      </c>
    </row>
    <row r="5" customFormat="false" ht="15" hidden="false" customHeight="false" outlineLevel="0" collapsed="false">
      <c r="A5" s="2" t="s">
        <v>101</v>
      </c>
      <c r="B5" s="2" t="s">
        <v>102</v>
      </c>
      <c r="C5" s="2" t="n">
        <v>2013</v>
      </c>
      <c r="D5" s="2" t="n">
        <v>5.8</v>
      </c>
      <c r="E5" s="7" t="n">
        <v>5</v>
      </c>
      <c r="F5" s="7" t="n">
        <v>86</v>
      </c>
      <c r="G5" s="2" t="n">
        <v>28.6</v>
      </c>
      <c r="H5" s="2" t="n">
        <v>30</v>
      </c>
      <c r="I5" s="2" t="n">
        <v>105</v>
      </c>
      <c r="J5" s="8" t="n">
        <f aca="false">IF(F5&gt;0,E5/F5,"")</f>
        <v>0.0581395348837209</v>
      </c>
      <c r="K5" s="8" t="n">
        <f aca="false">IF(F5&gt;0,MAX(0,((E5/F5)+1.959964^2/(2*F5))/(1+1.959964^2/F5)-(1.959964*SQRT((E5/F5)*(1-E5/F5)/F5+1.959964^2/(4*F5^2)))/(1+1.959964^2/F5)),"")</f>
        <v>0.0250869354622825</v>
      </c>
      <c r="L5" s="8" t="n">
        <f aca="false">IF(F5&gt;0,MIN(1,((E5/F5)+1.959964^2/(2*F5))/(1+1.959964^2/F5)+(1.959964*SQRT((E5/F5)*(1-E5/F5)/F5+1.959964^2/(4*F5^2)))/(1+1.959964^2/F5)),"")</f>
        <v>0.128978448756201</v>
      </c>
    </row>
    <row r="6" customFormat="false" ht="15" hidden="false" customHeight="false" outlineLevel="0" collapsed="false">
      <c r="A6" s="2" t="s">
        <v>101</v>
      </c>
      <c r="B6" s="2" t="s">
        <v>102</v>
      </c>
      <c r="C6" s="2" t="n">
        <v>2014</v>
      </c>
      <c r="D6" s="2" t="n">
        <v>2.2</v>
      </c>
      <c r="E6" s="7" t="n">
        <v>3</v>
      </c>
      <c r="F6" s="7" t="n">
        <v>139</v>
      </c>
      <c r="G6" s="2" t="n">
        <v>24.1</v>
      </c>
      <c r="H6" s="2" t="n">
        <v>34</v>
      </c>
      <c r="I6" s="2" t="n">
        <v>141</v>
      </c>
      <c r="J6" s="8" t="n">
        <f aca="false">IF(F6&gt;0,E6/F6,"")</f>
        <v>0.0215827338129496</v>
      </c>
      <c r="K6" s="8" t="n">
        <f aca="false">IF(F6&gt;0,MAX(0,((E6/F6)+1.959964^2/(2*F6))/(1+1.959964^2/F6)-(1.959964*SQRT((E6/F6)*(1-E6/F6)/F6+1.959964^2/(4*F6^2)))/(1+1.959964^2/F6)),"")</f>
        <v>0.00736681438650687</v>
      </c>
      <c r="L6" s="8" t="n">
        <f aca="false">IF(F6&gt;0,MIN(1,((E6/F6)+1.959964^2/(2*F6))/(1+1.959964^2/F6)+(1.959964*SQRT((E6/F6)*(1-E6/F6)/F6+1.959964^2/(4*F6^2)))/(1+1.959964^2/F6)),"")</f>
        <v>0.0615309619199816</v>
      </c>
    </row>
    <row r="7" customFormat="false" ht="15" hidden="false" customHeight="false" outlineLevel="0" collapsed="false">
      <c r="A7" s="2" t="s">
        <v>101</v>
      </c>
      <c r="B7" s="2" t="s">
        <v>102</v>
      </c>
      <c r="C7" s="2" t="n">
        <v>2015</v>
      </c>
      <c r="D7" s="2" t="n">
        <v>1.8</v>
      </c>
      <c r="E7" s="7" t="n">
        <v>2</v>
      </c>
      <c r="F7" s="7" t="n">
        <v>110</v>
      </c>
      <c r="G7" s="2" t="n">
        <v>36.6</v>
      </c>
      <c r="H7" s="2" t="n">
        <v>41</v>
      </c>
      <c r="I7" s="2" t="n">
        <v>112</v>
      </c>
      <c r="J7" s="8" t="n">
        <f aca="false">IF(F7&gt;0,E7/F7,"")</f>
        <v>0.0181818181818182</v>
      </c>
      <c r="K7" s="8" t="n">
        <f aca="false">IF(F7&gt;0,MAX(0,((E7/F7)+1.959964^2/(2*F7))/(1+1.959964^2/F7)-(1.959964*SQRT((E7/F7)*(1-E7/F7)/F7+1.959964^2/(4*F7^2)))/(1+1.959964^2/F7)),"")</f>
        <v>0.00500035483034546</v>
      </c>
      <c r="L7" s="8" t="n">
        <f aca="false">IF(F7&gt;0,MIN(1,((E7/F7)+1.959964^2/(2*F7))/(1+1.959964^2/F7)+(1.959964*SQRT((E7/F7)*(1-E7/F7)/F7+1.959964^2/(4*F7^2)))/(1+1.959964^2/F7)),"")</f>
        <v>0.0638801651344627</v>
      </c>
    </row>
    <row r="8" customFormat="false" ht="15" hidden="false" customHeight="false" outlineLevel="0" collapsed="false">
      <c r="A8" s="2" t="s">
        <v>101</v>
      </c>
      <c r="B8" s="2" t="s">
        <v>102</v>
      </c>
      <c r="C8" s="2" t="n">
        <v>2016</v>
      </c>
      <c r="D8" s="2" t="n">
        <v>11.8</v>
      </c>
      <c r="E8" s="7" t="n">
        <v>11</v>
      </c>
      <c r="F8" s="7" t="n">
        <v>93</v>
      </c>
      <c r="G8" s="2" t="n">
        <v>43.2</v>
      </c>
      <c r="H8" s="2" t="n">
        <v>41</v>
      </c>
      <c r="I8" s="2" t="n">
        <v>95</v>
      </c>
      <c r="J8" s="8" t="n">
        <f aca="false">IF(F8&gt;0,E8/F8,"")</f>
        <v>0.118279569892473</v>
      </c>
      <c r="K8" s="8" t="n">
        <f aca="false">IF(F8&gt;0,MAX(0,((E8/F8)+1.959964^2/(2*F8))/(1+1.959964^2/F8)-(1.959964*SQRT((E8/F8)*(1-E8/F8)/F8+1.959964^2/(4*F8^2)))/(1+1.959964^2/F8)),"")</f>
        <v>0.0673443777572861</v>
      </c>
      <c r="L8" s="8" t="n">
        <f aca="false">IF(F8&gt;0,MIN(1,((E8/F8)+1.959964^2/(2*F8))/(1+1.959964^2/F8)+(1.959964*SQRT((E8/F8)*(1-E8/F8)/F8+1.959964^2/(4*F8^2)))/(1+1.959964^2/F8)),"")</f>
        <v>0.199498554802944</v>
      </c>
    </row>
    <row r="9" customFormat="false" ht="15" hidden="false" customHeight="false" outlineLevel="0" collapsed="false">
      <c r="A9" s="2" t="s">
        <v>101</v>
      </c>
      <c r="B9" s="2" t="s">
        <v>102</v>
      </c>
      <c r="C9" s="2" t="n">
        <v>2017</v>
      </c>
      <c r="D9" s="2" t="n">
        <v>15.2</v>
      </c>
      <c r="E9" s="7" t="n">
        <v>14</v>
      </c>
      <c r="F9" s="7" t="n">
        <v>92</v>
      </c>
      <c r="G9" s="2" t="n">
        <v>31.5</v>
      </c>
      <c r="H9" s="2" t="n">
        <v>29</v>
      </c>
      <c r="I9" s="2" t="n">
        <v>92</v>
      </c>
      <c r="J9" s="8" t="n">
        <f aca="false">IF(F9&gt;0,E9/F9,"")</f>
        <v>0.152173913043478</v>
      </c>
      <c r="K9" s="8" t="n">
        <f aca="false">IF(F9&gt;0,MAX(0,((E9/F9)+1.959964^2/(2*F9))/(1+1.959964^2/F9)-(1.959964*SQRT((E9/F9)*(1-E9/F9)/F9+1.959964^2/(4*F9^2)))/(1+1.959964^2/F9)),"")</f>
        <v>0.0928654023378381</v>
      </c>
      <c r="L9" s="8" t="n">
        <f aca="false">IF(F9&gt;0,MIN(1,((E9/F9)+1.959964^2/(2*F9))/(1+1.959964^2/F9)+(1.959964*SQRT((E9/F9)*(1-E9/F9)/F9+1.959964^2/(4*F9^2)))/(1+1.959964^2/F9)),"")</f>
        <v>0.239365129761356</v>
      </c>
    </row>
    <row r="10" customFormat="false" ht="15" hidden="false" customHeight="false" outlineLevel="0" collapsed="false">
      <c r="A10" s="2" t="s">
        <v>101</v>
      </c>
      <c r="B10" s="2" t="s">
        <v>102</v>
      </c>
      <c r="C10" s="2" t="n">
        <v>2018</v>
      </c>
      <c r="D10" s="2" t="n">
        <v>9.3</v>
      </c>
      <c r="E10" s="7" t="n">
        <v>9</v>
      </c>
      <c r="F10" s="7" t="n">
        <v>97</v>
      </c>
      <c r="G10" s="2" t="n">
        <v>33</v>
      </c>
      <c r="H10" s="2" t="n">
        <v>32</v>
      </c>
      <c r="I10" s="2" t="n">
        <v>97</v>
      </c>
      <c r="J10" s="8" t="n">
        <f aca="false">IF(F10&gt;0,E10/F10,"")</f>
        <v>0.0927835051546392</v>
      </c>
      <c r="K10" s="8" t="n">
        <f aca="false">IF(F10&gt;0,MAX(0,((E10/F10)+1.959964^2/(2*F10))/(1+1.959964^2/F10)-(1.959964*SQRT((E10/F10)*(1-E10/F10)/F10+1.959964^2/(4*F10^2)))/(1+1.959964^2/F10)),"")</f>
        <v>0.0495832182402728</v>
      </c>
      <c r="L10" s="8" t="n">
        <f aca="false">IF(F10&gt;0,MIN(1,((E10/F10)+1.959964^2/(2*F10))/(1+1.959964^2/F10)+(1.959964*SQRT((E10/F10)*(1-E10/F10)/F10+1.959964^2/(4*F10^2)))/(1+1.959964^2/F10)),"")</f>
        <v>0.167008837483617</v>
      </c>
    </row>
    <row r="11" customFormat="false" ht="15" hidden="false" customHeight="false" outlineLevel="0" collapsed="false">
      <c r="A11" s="2" t="s">
        <v>101</v>
      </c>
      <c r="B11" s="2" t="s">
        <v>103</v>
      </c>
      <c r="C11" s="2" t="n">
        <v>2012</v>
      </c>
      <c r="D11" s="2" t="n">
        <v>2</v>
      </c>
      <c r="E11" s="7" t="n">
        <v>2</v>
      </c>
      <c r="F11" s="7" t="n">
        <v>94</v>
      </c>
      <c r="G11" s="2" t="n">
        <v>16.7</v>
      </c>
      <c r="H11" s="2" t="n">
        <v>17</v>
      </c>
      <c r="I11" s="2" t="n">
        <v>102</v>
      </c>
      <c r="J11" s="8" t="n">
        <f aca="false">IF(F11&gt;0,E11/F11,"")</f>
        <v>0.0212765957446809</v>
      </c>
      <c r="K11" s="8" t="n">
        <f aca="false">IF(F11&gt;0,MAX(0,((E11/F11)+1.959964^2/(2*F11))/(1+1.959964^2/F11)-(1.959964*SQRT((E11/F11)*(1-E11/F11)/F11+1.959964^2/(4*F11^2)))/(1+1.959964^2/F11)),"")</f>
        <v>0.00585433618649745</v>
      </c>
      <c r="L11" s="8" t="n">
        <f aca="false">IF(F11&gt;0,MIN(1,((E11/F11)+1.959964^2/(2*F11))/(1+1.959964^2/F11)+(1.959964*SQRT((E11/F11)*(1-E11/F11)/F11+1.959964^2/(4*F11^2)))/(1+1.959964^2/F11)),"")</f>
        <v>0.0742902055134529</v>
      </c>
    </row>
    <row r="12" customFormat="false" ht="15" hidden="false" customHeight="false" outlineLevel="0" collapsed="false">
      <c r="A12" s="2" t="s">
        <v>101</v>
      </c>
      <c r="B12" s="2" t="s">
        <v>103</v>
      </c>
      <c r="C12" s="2" t="n">
        <v>2013</v>
      </c>
      <c r="D12" s="2" t="n">
        <v>5.7</v>
      </c>
      <c r="E12" s="7" t="n">
        <v>7</v>
      </c>
      <c r="F12" s="7" t="n">
        <v>122</v>
      </c>
      <c r="G12" s="2" t="n">
        <v>27.5</v>
      </c>
      <c r="H12" s="2" t="n">
        <v>36</v>
      </c>
      <c r="I12" s="2" t="n">
        <v>131</v>
      </c>
      <c r="J12" s="8" t="n">
        <f aca="false">IF(F12&gt;0,E12/F12,"")</f>
        <v>0.0573770491803279</v>
      </c>
      <c r="K12" s="8" t="n">
        <f aca="false">IF(F12&gt;0,MAX(0,((E12/F12)+1.959964^2/(2*F12))/(1+1.959964^2/F12)-(1.959964*SQRT((E12/F12)*(1-E12/F12)/F12+1.959964^2/(4*F12^2)))/(1+1.959964^2/F12)),"")</f>
        <v>0.0280684422601321</v>
      </c>
      <c r="L12" s="8" t="n">
        <f aca="false">IF(F12&gt;0,MIN(1,((E12/F12)+1.959964^2/(2*F12))/(1+1.959964^2/F12)+(1.959964*SQRT((E12/F12)*(1-E12/F12)/F12+1.959964^2/(4*F12^2)))/(1+1.959964^2/F12)),"")</f>
        <v>0.113708830825406</v>
      </c>
    </row>
    <row r="13" customFormat="false" ht="15" hidden="false" customHeight="false" outlineLevel="0" collapsed="false">
      <c r="A13" s="2" t="s">
        <v>101</v>
      </c>
      <c r="B13" s="2" t="s">
        <v>103</v>
      </c>
      <c r="C13" s="2" t="n">
        <v>2014</v>
      </c>
      <c r="D13" s="2" t="n">
        <v>10.6</v>
      </c>
      <c r="E13" s="7" t="n">
        <v>11</v>
      </c>
      <c r="F13" s="7" t="n">
        <v>104</v>
      </c>
      <c r="G13" s="2" t="n">
        <v>11.3</v>
      </c>
      <c r="H13" s="2" t="n">
        <v>14</v>
      </c>
      <c r="I13" s="2" t="n">
        <v>124</v>
      </c>
      <c r="J13" s="8" t="n">
        <f aca="false">IF(F13&gt;0,E13/F13,"")</f>
        <v>0.105769230769231</v>
      </c>
      <c r="K13" s="8" t="n">
        <f aca="false">IF(F13&gt;0,MAX(0,((E13/F13)+1.959964^2/(2*F13))/(1+1.959964^2/F13)-(1.959964*SQRT((E13/F13)*(1-E13/F13)/F13+1.959964^2/(4*F13^2)))/(1+1.959964^2/F13)),"")</f>
        <v>0.0600933451202205</v>
      </c>
      <c r="L13" s="8" t="n">
        <f aca="false">IF(F13&gt;0,MIN(1,((E13/F13)+1.959964^2/(2*F13))/(1+1.959964^2/F13)+(1.959964*SQRT((E13/F13)*(1-E13/F13)/F13+1.959964^2/(4*F13^2)))/(1+1.959964^2/F13)),"")</f>
        <v>0.179531184716124</v>
      </c>
    </row>
    <row r="14" customFormat="false" ht="15" hidden="false" customHeight="false" outlineLevel="0" collapsed="false">
      <c r="A14" s="2" t="s">
        <v>101</v>
      </c>
      <c r="B14" s="2" t="s">
        <v>103</v>
      </c>
      <c r="C14" s="2" t="n">
        <v>2016</v>
      </c>
      <c r="D14" s="2" t="n">
        <v>24.6</v>
      </c>
      <c r="E14" s="7" t="n">
        <v>30</v>
      </c>
      <c r="F14" s="7" t="n">
        <v>122</v>
      </c>
      <c r="G14" s="2" t="n">
        <v>23.8</v>
      </c>
      <c r="H14" s="2" t="n">
        <v>29</v>
      </c>
      <c r="I14" s="2" t="n">
        <v>122</v>
      </c>
      <c r="J14" s="8" t="n">
        <f aca="false">IF(F14&gt;0,E14/F14,"")</f>
        <v>0.245901639344262</v>
      </c>
      <c r="K14" s="8" t="n">
        <f aca="false">IF(F14&gt;0,MAX(0,((E14/F14)+1.959964^2/(2*F14))/(1+1.959964^2/F14)-(1.959964*SQRT((E14/F14)*(1-E14/F14)/F14+1.959964^2/(4*F14^2)))/(1+1.959964^2/F14)),"")</f>
        <v>0.178022599999885</v>
      </c>
      <c r="L14" s="8" t="n">
        <f aca="false">IF(F14&gt;0,MIN(1,((E14/F14)+1.959964^2/(2*F14))/(1+1.959964^2/F14)+(1.959964*SQRT((E14/F14)*(1-E14/F14)/F14+1.959964^2/(4*F14^2)))/(1+1.959964^2/F14)),"")</f>
        <v>0.329293982697369</v>
      </c>
    </row>
    <row r="15" customFormat="false" ht="15" hidden="false" customHeight="false" outlineLevel="0" collapsed="false">
      <c r="A15" s="2" t="s">
        <v>101</v>
      </c>
      <c r="B15" s="2" t="s">
        <v>103</v>
      </c>
      <c r="C15" s="2" t="n">
        <v>2017</v>
      </c>
      <c r="D15" s="2" t="n">
        <v>27.9</v>
      </c>
      <c r="E15" s="7" t="n">
        <v>24</v>
      </c>
      <c r="F15" s="7" t="n">
        <v>86</v>
      </c>
      <c r="G15" s="2" t="n">
        <v>22.1</v>
      </c>
      <c r="H15" s="2" t="n">
        <v>23</v>
      </c>
      <c r="I15" s="2" t="n">
        <v>104</v>
      </c>
      <c r="J15" s="8" t="n">
        <f aca="false">IF(F15&gt;0,E15/F15,"")</f>
        <v>0.27906976744186</v>
      </c>
      <c r="K15" s="8" t="n">
        <f aca="false">IF(F15&gt;0,MAX(0,((E15/F15)+1.959964^2/(2*F15))/(1+1.959964^2/F15)-(1.959964*SQRT((E15/F15)*(1-E15/F15)/F15+1.959964^2/(4*F15^2)))/(1+1.959964^2/F15)),"")</f>
        <v>0.195286777137074</v>
      </c>
      <c r="L15" s="8" t="n">
        <f aca="false">IF(F15&gt;0,MIN(1,((E15/F15)+1.959964^2/(2*F15))/(1+1.959964^2/F15)+(1.959964*SQRT((E15/F15)*(1-E15/F15)/F15+1.959964^2/(4*F15^2)))/(1+1.959964^2/F15)),"")</f>
        <v>0.381745914972169</v>
      </c>
    </row>
    <row r="16" customFormat="false" ht="15" hidden="false" customHeight="false" outlineLevel="0" collapsed="false">
      <c r="A16" s="2" t="s">
        <v>101</v>
      </c>
      <c r="B16" s="2" t="s">
        <v>103</v>
      </c>
      <c r="C16" s="2" t="n">
        <v>2018</v>
      </c>
      <c r="D16" s="2" t="n">
        <v>33.9</v>
      </c>
      <c r="E16" s="7" t="n">
        <v>37</v>
      </c>
      <c r="F16" s="7" t="n">
        <v>109</v>
      </c>
      <c r="G16" s="2" t="n">
        <v>33.1</v>
      </c>
      <c r="H16" s="2" t="n">
        <v>36</v>
      </c>
      <c r="I16" s="2" t="n">
        <v>109</v>
      </c>
      <c r="J16" s="8" t="n">
        <f aca="false">IF(F16&gt;0,E16/F16,"")</f>
        <v>0.339449541284404</v>
      </c>
      <c r="K16" s="8" t="n">
        <f aca="false">IF(F16&gt;0,MAX(0,((E16/F16)+1.959964^2/(2*F16))/(1+1.959964^2/F16)-(1.959964*SQRT((E16/F16)*(1-E16/F16)/F16+1.959964^2/(4*F16^2)))/(1+1.959964^2/F16)),"")</f>
        <v>0.257375968056672</v>
      </c>
      <c r="L16" s="8" t="n">
        <f aca="false">IF(F16&gt;0,MIN(1,((E16/F16)+1.959964^2/(2*F16))/(1+1.959964^2/F16)+(1.959964*SQRT((E16/F16)*(1-E16/F16)/F16+1.959964^2/(4*F16^2)))/(1+1.959964^2/F16)),"")</f>
        <v>0.43245434478235</v>
      </c>
    </row>
    <row r="17" customFormat="false" ht="15" hidden="false" customHeight="false" outlineLevel="0" collapsed="false">
      <c r="A17" s="2" t="s">
        <v>104</v>
      </c>
      <c r="B17" s="2" t="s">
        <v>102</v>
      </c>
      <c r="C17" s="2" t="n">
        <v>2013</v>
      </c>
      <c r="D17" s="2" t="n">
        <v>0</v>
      </c>
      <c r="E17" s="7" t="n">
        <v>0</v>
      </c>
      <c r="F17" s="7" t="n">
        <v>44</v>
      </c>
      <c r="G17" s="2" t="n">
        <v>44.4</v>
      </c>
      <c r="H17" s="2" t="n">
        <v>20</v>
      </c>
      <c r="I17" s="2" t="n">
        <v>45</v>
      </c>
      <c r="J17" s="8" t="n">
        <f aca="false">IF(F17&gt;0,E17/F17,"")</f>
        <v>0</v>
      </c>
      <c r="K17" s="8" t="n">
        <f aca="false">IF(F17&gt;0,MAX(0,((E17/F17)+1.959964^2/(2*F17))/(1+1.959964^2/F17)-(1.959964*SQRT((E17/F17)*(1-E17/F17)/F17+1.959964^2/(4*F17^2)))/(1+1.959964^2/F17)),"")</f>
        <v>0</v>
      </c>
      <c r="L17" s="8" t="n">
        <f aca="false">IF(F17&gt;0,MIN(1,((E17/F17)+1.959964^2/(2*F17))/(1+1.959964^2/F17)+(1.959964*SQRT((E17/F17)*(1-E17/F17)/F17+1.959964^2/(4*F17^2)))/(1+1.959964^2/F17)),"")</f>
        <v>0.0802956049234914</v>
      </c>
    </row>
    <row r="18" customFormat="false" ht="15" hidden="false" customHeight="false" outlineLevel="0" collapsed="false">
      <c r="A18" s="2" t="s">
        <v>104</v>
      </c>
      <c r="B18" s="2" t="s">
        <v>102</v>
      </c>
      <c r="C18" s="2" t="n">
        <v>2014</v>
      </c>
      <c r="D18" s="2" t="n">
        <v>0</v>
      </c>
      <c r="E18" s="7" t="n">
        <v>0</v>
      </c>
      <c r="F18" s="7" t="n">
        <v>44</v>
      </c>
      <c r="G18" s="2" t="n">
        <v>54.6</v>
      </c>
      <c r="H18" s="2" t="n">
        <v>24</v>
      </c>
      <c r="I18" s="2" t="n">
        <v>44</v>
      </c>
      <c r="J18" s="8" t="n">
        <f aca="false">IF(F18&gt;0,E18/F18,"")</f>
        <v>0</v>
      </c>
      <c r="K18" s="8" t="n">
        <f aca="false">IF(F18&gt;0,MAX(0,((E18/F18)+1.959964^2/(2*F18))/(1+1.959964^2/F18)-(1.959964*SQRT((E18/F18)*(1-E18/F18)/F18+1.959964^2/(4*F18^2)))/(1+1.959964^2/F18)),"")</f>
        <v>0</v>
      </c>
      <c r="L18" s="8" t="n">
        <f aca="false">IF(F18&gt;0,MIN(1,((E18/F18)+1.959964^2/(2*F18))/(1+1.959964^2/F18)+(1.959964*SQRT((E18/F18)*(1-E18/F18)/F18+1.959964^2/(4*F18^2)))/(1+1.959964^2/F18)),"")</f>
        <v>0.0802956049234914</v>
      </c>
    </row>
    <row r="19" customFormat="false" ht="15" hidden="false" customHeight="false" outlineLevel="0" collapsed="false">
      <c r="A19" s="2" t="s">
        <v>104</v>
      </c>
      <c r="B19" s="2" t="s">
        <v>102</v>
      </c>
      <c r="C19" s="2" t="n">
        <v>2015</v>
      </c>
      <c r="D19" s="2" t="n">
        <v>4.4</v>
      </c>
      <c r="E19" s="7" t="n">
        <v>2</v>
      </c>
      <c r="F19" s="7" t="n">
        <v>46</v>
      </c>
      <c r="G19" s="2" t="n">
        <v>56.5</v>
      </c>
      <c r="H19" s="2" t="n">
        <v>26</v>
      </c>
      <c r="I19" s="2" t="n">
        <v>46</v>
      </c>
      <c r="J19" s="8" t="n">
        <f aca="false">IF(F19&gt;0,E19/F19,"")</f>
        <v>0.0434782608695652</v>
      </c>
      <c r="K19" s="8" t="n">
        <f aca="false">IF(F19&gt;0,MAX(0,((E19/F19)+1.959964^2/(2*F19))/(1+1.959964^2/F19)-(1.959964*SQRT((E19/F19)*(1-E19/F19)/F19+1.959964^2/(4*F19^2)))/(1+1.959964^2/F19)),"")</f>
        <v>0.0120054454903778</v>
      </c>
      <c r="L19" s="8" t="n">
        <f aca="false">IF(F19&gt;0,MIN(1,((E19/F19)+1.959964^2/(2*F19))/(1+1.959964^2/F19)+(1.959964*SQRT((E19/F19)*(1-E19/F19)/F19+1.959964^2/(4*F19^2)))/(1+1.959964^2/F19)),"")</f>
        <v>0.145322591394968</v>
      </c>
    </row>
    <row r="20" customFormat="false" ht="15" hidden="false" customHeight="false" outlineLevel="0" collapsed="false">
      <c r="A20" s="2" t="s">
        <v>104</v>
      </c>
      <c r="B20" s="2" t="s">
        <v>102</v>
      </c>
      <c r="C20" s="2" t="n">
        <v>2016</v>
      </c>
      <c r="D20" s="2" t="n">
        <v>12.2</v>
      </c>
      <c r="E20" s="7" t="n">
        <v>5</v>
      </c>
      <c r="F20" s="7" t="n">
        <v>41</v>
      </c>
      <c r="G20" s="2" t="n">
        <v>38.1</v>
      </c>
      <c r="H20" s="2" t="n">
        <v>16</v>
      </c>
      <c r="I20" s="2" t="n">
        <v>42</v>
      </c>
      <c r="J20" s="8" t="n">
        <f aca="false">IF(F20&gt;0,E20/F20,"")</f>
        <v>0.121951219512195</v>
      </c>
      <c r="K20" s="8" t="n">
        <f aca="false">IF(F20&gt;0,MAX(0,((E20/F20)+1.959964^2/(2*F20))/(1+1.959964^2/F20)-(1.959964*SQRT((E20/F20)*(1-E20/F20)/F20+1.959964^2/(4*F20^2)))/(1+1.959964^2/F20)),"")</f>
        <v>0.0532333643489298</v>
      </c>
      <c r="L20" s="8" t="n">
        <f aca="false">IF(F20&gt;0,MIN(1,((E20/F20)+1.959964^2/(2*F20))/(1+1.959964^2/F20)+(1.959964*SQRT((E20/F20)*(1-E20/F20)/F20+1.959964^2/(4*F20^2)))/(1+1.959964^2/F20)),"")</f>
        <v>0.25544211648092</v>
      </c>
    </row>
    <row r="21" customFormat="false" ht="15" hidden="false" customHeight="false" outlineLevel="0" collapsed="false">
      <c r="A21" s="2" t="s">
        <v>104</v>
      </c>
      <c r="B21" s="2" t="s">
        <v>102</v>
      </c>
      <c r="C21" s="2" t="n">
        <v>2017</v>
      </c>
      <c r="D21" s="2" t="n">
        <v>40.5</v>
      </c>
      <c r="E21" s="7" t="n">
        <v>17</v>
      </c>
      <c r="F21" s="7" t="n">
        <v>42</v>
      </c>
      <c r="G21" s="2" t="n">
        <v>45.2</v>
      </c>
      <c r="H21" s="2" t="n">
        <v>19</v>
      </c>
      <c r="I21" s="2" t="n">
        <v>42</v>
      </c>
      <c r="J21" s="8" t="n">
        <f aca="false">IF(F21&gt;0,E21/F21,"")</f>
        <v>0.404761904761905</v>
      </c>
      <c r="K21" s="8" t="n">
        <f aca="false">IF(F21&gt;0,MAX(0,((E21/F21)+1.959964^2/(2*F21))/(1+1.959964^2/F21)-(1.959964*SQRT((E21/F21)*(1-E21/F21)/F21+1.959964^2/(4*F21^2)))/(1+1.959964^2/F21)),"")</f>
        <v>0.270428610558445</v>
      </c>
      <c r="L21" s="8" t="n">
        <f aca="false">IF(F21&gt;0,MIN(1,((E21/F21)+1.959964^2/(2*F21))/(1+1.959964^2/F21)+(1.959964*SQRT((E21/F21)*(1-E21/F21)/F21+1.959964^2/(4*F21^2)))/(1+1.959964^2/F21)),"")</f>
        <v>0.555056873646681</v>
      </c>
    </row>
    <row r="22" customFormat="false" ht="15" hidden="false" customHeight="false" outlineLevel="0" collapsed="false">
      <c r="A22" s="2" t="s">
        <v>104</v>
      </c>
      <c r="B22" s="2" t="s">
        <v>103</v>
      </c>
      <c r="C22" s="2" t="n">
        <v>2013</v>
      </c>
      <c r="D22" s="2" t="n">
        <v>0</v>
      </c>
      <c r="E22" s="7" t="n">
        <v>0</v>
      </c>
      <c r="F22" s="7" t="n">
        <v>49</v>
      </c>
      <c r="G22" s="2" t="n">
        <v>46.9</v>
      </c>
      <c r="H22" s="2" t="n">
        <v>23</v>
      </c>
      <c r="I22" s="2" t="n">
        <v>49</v>
      </c>
      <c r="J22" s="8" t="n">
        <f aca="false">IF(F22&gt;0,E22/F22,"")</f>
        <v>0</v>
      </c>
      <c r="K22" s="8" t="n">
        <f aca="false">IF(F22&gt;0,MAX(0,((E22/F22)+1.959964^2/(2*F22))/(1+1.959964^2/F22)-(1.959964*SQRT((E22/F22)*(1-E22/F22)/F22+1.959964^2/(4*F22^2)))/(1+1.959964^2/F22)),"")</f>
        <v>0</v>
      </c>
      <c r="L22" s="8" t="n">
        <f aca="false">IF(F22&gt;0,MIN(1,((E22/F22)+1.959964^2/(2*F22))/(1+1.959964^2/F22)+(1.959964*SQRT((E22/F22)*(1-E22/F22)/F22+1.959964^2/(4*F22^2)))/(1+1.959964^2/F22)),"")</f>
        <v>0.0726978202839843</v>
      </c>
    </row>
    <row r="23" customFormat="false" ht="15" hidden="false" customHeight="false" outlineLevel="0" collapsed="false">
      <c r="A23" s="2" t="s">
        <v>104</v>
      </c>
      <c r="B23" s="2" t="s">
        <v>103</v>
      </c>
      <c r="C23" s="2" t="n">
        <v>2014</v>
      </c>
      <c r="D23" s="2" t="n">
        <v>0</v>
      </c>
      <c r="E23" s="7" t="n">
        <v>0</v>
      </c>
      <c r="F23" s="7" t="n">
        <v>47</v>
      </c>
      <c r="G23" s="2" t="n">
        <v>55.3</v>
      </c>
      <c r="H23" s="2" t="n">
        <v>26</v>
      </c>
      <c r="I23" s="2" t="n">
        <v>47</v>
      </c>
      <c r="J23" s="8" t="n">
        <f aca="false">IF(F23&gt;0,E23/F23,"")</f>
        <v>0</v>
      </c>
      <c r="K23" s="8" t="n">
        <f aca="false">IF(F23&gt;0,MAX(0,((E23/F23)+1.959964^2/(2*F23))/(1+1.959964^2/F23)-(1.959964*SQRT((E23/F23)*(1-E23/F23)/F23+1.959964^2/(4*F23^2)))/(1+1.959964^2/F23)),"")</f>
        <v>0</v>
      </c>
      <c r="L23" s="8" t="n">
        <f aca="false">IF(F23&gt;0,MIN(1,((E23/F23)+1.959964^2/(2*F23))/(1+1.959964^2/F23)+(1.959964*SQRT((E23/F23)*(1-E23/F23)/F23+1.959964^2/(4*F23^2)))/(1+1.959964^2/F23)),"")</f>
        <v>0.0755576052659109</v>
      </c>
    </row>
    <row r="24" customFormat="false" ht="15" hidden="false" customHeight="false" outlineLevel="0" collapsed="false">
      <c r="A24" s="2" t="s">
        <v>104</v>
      </c>
      <c r="B24" s="2" t="s">
        <v>103</v>
      </c>
      <c r="C24" s="2" t="n">
        <v>2015</v>
      </c>
      <c r="D24" s="2" t="n">
        <v>8.3</v>
      </c>
      <c r="E24" s="7" t="n">
        <v>4</v>
      </c>
      <c r="F24" s="7" t="n">
        <v>48</v>
      </c>
      <c r="G24" s="2" t="n">
        <v>14.6</v>
      </c>
      <c r="H24" s="2" t="n">
        <v>7</v>
      </c>
      <c r="I24" s="2" t="n">
        <v>48</v>
      </c>
      <c r="J24" s="8" t="n">
        <f aca="false">IF(F24&gt;0,E24/F24,"")</f>
        <v>0.0833333333333333</v>
      </c>
      <c r="K24" s="8" t="n">
        <f aca="false">IF(F24&gt;0,MAX(0,((E24/F24)+1.959964^2/(2*F24))/(1+1.959964^2/F24)-(1.959964*SQRT((E24/F24)*(1-E24/F24)/F24+1.959964^2/(4*F24^2)))/(1+1.959964^2/F24)),"")</f>
        <v>0.032883756589523</v>
      </c>
      <c r="L24" s="8" t="n">
        <f aca="false">IF(F24&gt;0,MIN(1,((E24/F24)+1.959964^2/(2*F24))/(1+1.959964^2/F24)+(1.959964*SQRT((E24/F24)*(1-E24/F24)/F24+1.959964^2/(4*F24^2)))/(1+1.959964^2/F24)),"")</f>
        <v>0.195533019034211</v>
      </c>
    </row>
    <row r="25" customFormat="false" ht="15" hidden="false" customHeight="false" outlineLevel="0" collapsed="false">
      <c r="A25" s="2" t="s">
        <v>104</v>
      </c>
      <c r="B25" s="2" t="s">
        <v>103</v>
      </c>
      <c r="C25" s="2" t="n">
        <v>2016</v>
      </c>
      <c r="D25" s="2" t="n">
        <v>14.3</v>
      </c>
      <c r="E25" s="7" t="n">
        <v>7</v>
      </c>
      <c r="F25" s="7" t="n">
        <v>49</v>
      </c>
      <c r="G25" s="2" t="n">
        <v>40.4</v>
      </c>
      <c r="H25" s="2" t="n">
        <v>19</v>
      </c>
      <c r="I25" s="2" t="n">
        <v>47</v>
      </c>
      <c r="J25" s="8" t="n">
        <f aca="false">IF(F25&gt;0,E25/F25,"")</f>
        <v>0.142857142857143</v>
      </c>
      <c r="K25" s="8" t="n">
        <f aca="false">IF(F25&gt;0,MAX(0,((E25/F25)+1.959964^2/(2*F25))/(1+1.959964^2/F25)-(1.959964*SQRT((E25/F25)*(1-E25/F25)/F25+1.959964^2/(4*F25^2)))/(1+1.959964^2/F25)),"")</f>
        <v>0.0709642368177327</v>
      </c>
      <c r="L25" s="8" t="n">
        <f aca="false">IF(F25&gt;0,MIN(1,((E25/F25)+1.959964^2/(2*F25))/(1+1.959964^2/F25)+(1.959964*SQRT((E25/F25)*(1-E25/F25)/F25+1.959964^2/(4*F25^2)))/(1+1.959964^2/F25)),"")</f>
        <v>0.266677063385113</v>
      </c>
    </row>
    <row r="26" customFormat="false" ht="15" hidden="false" customHeight="false" outlineLevel="0" collapsed="false">
      <c r="A26" s="2" t="s">
        <v>104</v>
      </c>
      <c r="B26" s="2" t="s">
        <v>103</v>
      </c>
      <c r="C26" s="2" t="n">
        <v>2017</v>
      </c>
      <c r="D26" s="2" t="n">
        <v>39.6</v>
      </c>
      <c r="E26" s="7" t="n">
        <v>19</v>
      </c>
      <c r="F26" s="7" t="n">
        <v>48</v>
      </c>
      <c r="G26" s="2" t="n">
        <v>60.4</v>
      </c>
      <c r="H26" s="2" t="n">
        <v>29</v>
      </c>
      <c r="I26" s="2" t="n">
        <v>48</v>
      </c>
      <c r="J26" s="8" t="n">
        <f aca="false">IF(F26&gt;0,E26/F26,"")</f>
        <v>0.395833333333333</v>
      </c>
      <c r="K26" s="8" t="n">
        <f aca="false">IF(F26&gt;0,MAX(0,((E26/F26)+1.959964^2/(2*F26))/(1+1.959964^2/F26)-(1.959964*SQRT((E26/F26)*(1-E26/F26)/F26+1.959964^2/(4*F26^2)))/(1+1.959964^2/F26)),"")</f>
        <v>0.270208277741536</v>
      </c>
      <c r="L26" s="8" t="n">
        <f aca="false">IF(F26&gt;0,MIN(1,((E26/F26)+1.959964^2/(2*F26))/(1+1.959964^2/F26)+(1.959964*SQRT((E26/F26)*(1-E26/F26)/F26+1.959964^2/(4*F26^2)))/(1+1.959964^2/F26)),"")</f>
        <v>0.536895916164398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10" min="8" style="0" width="12"/>
  </cols>
  <sheetData>
    <row r="1" customFormat="false" ht="15" hidden="false" customHeight="false" outlineLevel="0" collapsed="false">
      <c r="A1" s="4" t="s">
        <v>105</v>
      </c>
    </row>
    <row r="2" customFormat="false" ht="15" hidden="false" customHeight="false" outlineLevel="0" collapsed="false">
      <c r="A2" s="5" t="s">
        <v>106</v>
      </c>
    </row>
    <row r="3" customFormat="false" ht="15" hidden="false" customHeight="false" outlineLevel="0" collapsed="false">
      <c r="A3" s="5" t="s">
        <v>107</v>
      </c>
    </row>
    <row r="4" customFormat="false" ht="15" hidden="false" customHeight="false" outlineLevel="0" collapsed="false">
      <c r="A4" s="6" t="s">
        <v>108</v>
      </c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  <c r="H4" s="6" t="s">
        <v>36</v>
      </c>
      <c r="I4" s="6" t="s">
        <v>37</v>
      </c>
      <c r="J4" s="6" t="s">
        <v>38</v>
      </c>
    </row>
    <row r="5" customFormat="false" ht="15" hidden="false" customHeight="false" outlineLevel="0" collapsed="false">
      <c r="A5" s="2" t="n">
        <v>1</v>
      </c>
      <c r="B5" s="2" t="n">
        <v>4.6</v>
      </c>
      <c r="C5" s="7" t="n">
        <v>28</v>
      </c>
      <c r="D5" s="7" t="n">
        <v>614</v>
      </c>
      <c r="E5" s="2" t="n">
        <v>25</v>
      </c>
      <c r="F5" s="2" t="n">
        <v>159</v>
      </c>
      <c r="G5" s="2" t="n">
        <v>637</v>
      </c>
      <c r="H5" s="8" t="n">
        <f aca="false">IF(D5&gt;0,C5/D5,"")</f>
        <v>0.0456026058631922</v>
      </c>
      <c r="I5" s="8" t="n">
        <f aca="false">IF(D5&gt;0,MAX(0,((C5/D5)+1.959964^2/(2*D5))/(1+1.959964^2/D5)-(1.959964*SQRT((C5/D5)*(1-C5/D5)/D5+1.959964^2/(4*D5^2)))/(1+1.959964^2/D5)),"")</f>
        <v>0.0317368771174341</v>
      </c>
      <c r="J5" s="8" t="n">
        <f aca="false">IF(D5&gt;0,MIN(1,((C5/D5)+1.959964^2/(2*D5))/(1+1.959964^2/D5)+(1.959964*SQRT((C5/D5)*(1-C5/D5)/D5+1.959964^2/(4*D5^2)))/(1+1.959964^2/D5)),"")</f>
        <v>0.0651188097599872</v>
      </c>
    </row>
    <row r="6" customFormat="false" ht="15" hidden="false" customHeight="false" outlineLevel="0" collapsed="false">
      <c r="A6" s="2" t="n">
        <v>2</v>
      </c>
      <c r="B6" s="2" t="n">
        <v>8.3</v>
      </c>
      <c r="C6" s="7" t="n">
        <v>32</v>
      </c>
      <c r="D6" s="7" t="n">
        <v>388</v>
      </c>
      <c r="E6" s="2" t="n">
        <v>36.5</v>
      </c>
      <c r="F6" s="2" t="n">
        <v>149</v>
      </c>
      <c r="G6" s="2" t="n">
        <v>408</v>
      </c>
      <c r="H6" s="8" t="n">
        <f aca="false">IF(D6&gt;0,C6/D6,"")</f>
        <v>0.0824742268041237</v>
      </c>
      <c r="I6" s="8" t="n">
        <f aca="false">IF(D6&gt;0,MAX(0,((C6/D6)+1.959964^2/(2*D6))/(1+1.959964^2/D6)-(1.959964*SQRT((C6/D6)*(1-C6/D6)/D6+1.959964^2/(4*D6^2)))/(1+1.959964^2/D6)),"")</f>
        <v>0.0590245108973624</v>
      </c>
      <c r="J6" s="8" t="n">
        <f aca="false">IF(D6&gt;0,MIN(1,((C6/D6)+1.959964^2/(2*D6))/(1+1.959964^2/D6)+(1.959964*SQRT((C6/D6)*(1-C6/D6)/D6+1.959964^2/(4*D6^2)))/(1+1.959964^2/D6)),"")</f>
        <v>0.114110458217398</v>
      </c>
    </row>
    <row r="7" customFormat="false" ht="15" hidden="false" customHeight="false" outlineLevel="0" collapsed="false">
      <c r="A7" s="2" t="n">
        <v>3</v>
      </c>
      <c r="B7" s="2" t="n">
        <v>15.4</v>
      </c>
      <c r="C7" s="7" t="n">
        <v>45</v>
      </c>
      <c r="D7" s="7" t="n">
        <v>292</v>
      </c>
      <c r="E7" s="2" t="n">
        <v>31.6</v>
      </c>
      <c r="F7" s="2" t="n">
        <v>95</v>
      </c>
      <c r="G7" s="2" t="n">
        <v>301</v>
      </c>
      <c r="H7" s="8" t="n">
        <f aca="false">IF(D7&gt;0,C7/D7,"")</f>
        <v>0.154109589041096</v>
      </c>
      <c r="I7" s="8" t="n">
        <f aca="false">IF(D7&gt;0,MAX(0,((C7/D7)+1.959964^2/(2*D7))/(1+1.959964^2/D7)-(1.959964*SQRT((C7/D7)*(1-C7/D7)/D7+1.959964^2/(4*D7^2)))/(1+1.959964^2/D7)),"")</f>
        <v>0.117214023742861</v>
      </c>
      <c r="J7" s="8" t="n">
        <f aca="false">IF(D7&gt;0,MIN(1,((C7/D7)+1.959964^2/(2*D7))/(1+1.959964^2/D7)+(1.959964*SQRT((C7/D7)*(1-C7/D7)/D7+1.959964^2/(4*D7^2)))/(1+1.959964^2/D7)),"")</f>
        <v>0.199987829020274</v>
      </c>
    </row>
    <row r="8" customFormat="false" ht="15" hidden="false" customHeight="false" outlineLevel="0" collapsed="false">
      <c r="A8" s="2" t="n">
        <v>4</v>
      </c>
      <c r="B8" s="2" t="n">
        <v>18.2</v>
      </c>
      <c r="C8" s="7" t="n">
        <v>41</v>
      </c>
      <c r="D8" s="7" t="n">
        <v>225</v>
      </c>
      <c r="E8" s="2" t="n">
        <v>36.1</v>
      </c>
      <c r="F8" s="2" t="n">
        <v>85</v>
      </c>
      <c r="G8" s="2" t="n">
        <v>236</v>
      </c>
      <c r="H8" s="8" t="n">
        <f aca="false">IF(D8&gt;0,C8/D8,"")</f>
        <v>0.182222222222222</v>
      </c>
      <c r="I8" s="8" t="n">
        <f aca="false">IF(D8&gt;0,MAX(0,((C8/D8)+1.959964^2/(2*D8))/(1+1.959964^2/D8)-(1.959964*SQRT((C8/D8)*(1-C8/D8)/D8+1.959964^2/(4*D8^2)))/(1+1.959964^2/D8)),"")</f>
        <v>0.137258086128179</v>
      </c>
      <c r="J8" s="8" t="n">
        <f aca="false">IF(D8&gt;0,MIN(1,((C8/D8)+1.959964^2/(2*D8))/(1+1.959964^2/D8)+(1.959964*SQRT((C8/D8)*(1-C8/D8)/D8+1.959964^2/(4*D8^2)))/(1+1.959964^2/D8)),"")</f>
        <v>0.237855144231987</v>
      </c>
    </row>
    <row r="9" customFormat="false" ht="15" hidden="false" customHeight="false" outlineLevel="0" collapsed="false">
      <c r="A9" s="2" t="n">
        <v>5</v>
      </c>
      <c r="B9" s="2" t="n">
        <v>36.2</v>
      </c>
      <c r="C9" s="7" t="n">
        <v>55</v>
      </c>
      <c r="D9" s="7" t="n">
        <v>152</v>
      </c>
      <c r="E9" s="2" t="n">
        <v>39.5</v>
      </c>
      <c r="F9" s="2" t="n">
        <v>62</v>
      </c>
      <c r="G9" s="2" t="n">
        <v>157</v>
      </c>
      <c r="H9" s="8" t="n">
        <f aca="false">IF(D9&gt;0,C9/D9,"")</f>
        <v>0.361842105263158</v>
      </c>
      <c r="I9" s="8" t="n">
        <f aca="false">IF(D9&gt;0,MAX(0,((C9/D9)+1.959964^2/(2*D9))/(1+1.959964^2/D9)-(1.959964*SQRT((C9/D9)*(1-C9/D9)/D9+1.959964^2/(4*D9^2)))/(1+1.959964^2/D9)),"")</f>
        <v>0.289725887031617</v>
      </c>
      <c r="J9" s="8" t="n">
        <f aca="false">IF(D9&gt;0,MIN(1,((C9/D9)+1.959964^2/(2*D9))/(1+1.959964^2/D9)+(1.959964*SQRT((C9/D9)*(1-C9/D9)/D9+1.959964^2/(4*D9^2)))/(1+1.959964^2/D9)),"")</f>
        <v>0.440769449052273</v>
      </c>
    </row>
    <row r="10" customFormat="false" ht="15" hidden="false" customHeight="false" outlineLevel="0" collapsed="false">
      <c r="A10" s="2" t="n">
        <v>6</v>
      </c>
      <c r="B10" s="2" t="n">
        <v>19.5</v>
      </c>
      <c r="C10" s="7" t="n">
        <v>8</v>
      </c>
      <c r="D10" s="7" t="n">
        <v>41</v>
      </c>
      <c r="E10" s="2" t="n">
        <v>39.6</v>
      </c>
      <c r="F10" s="2" t="n">
        <v>21</v>
      </c>
      <c r="G10" s="2" t="n">
        <v>53</v>
      </c>
      <c r="H10" s="8" t="n">
        <f aca="false">IF(D10&gt;0,C10/D10,"")</f>
        <v>0.195121951219512</v>
      </c>
      <c r="I10" s="8" t="n">
        <f aca="false">IF(D10&gt;0,MAX(0,((C10/D10)+1.959964^2/(2*D10))/(1+1.959964^2/D10)-(1.959964*SQRT((C10/D10)*(1-C10/D10)/D10+1.959964^2/(4*D10^2)))/(1+1.959964^2/D10)),"")</f>
        <v>0.102344373329444</v>
      </c>
      <c r="J10" s="8" t="n">
        <f aca="false">IF(D10&gt;0,MIN(1,((C10/D10)+1.959964^2/(2*D10))/(1+1.959964^2/D10)+(1.959964*SQRT((C10/D10)*(1-C10/D10)/D10+1.959964^2/(4*D10^2)))/(1+1.959964^2/D10)),"")</f>
        <v>0.340135853146242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8" min="6" style="0" width="12"/>
  </cols>
  <sheetData>
    <row r="1" customFormat="false" ht="15" hidden="false" customHeight="false" outlineLevel="0" collapsed="false">
      <c r="A1" s="4" t="s">
        <v>109</v>
      </c>
    </row>
    <row r="2" customFormat="false" ht="15" hidden="false" customHeight="false" outlineLevel="0" collapsed="false">
      <c r="A2" s="5" t="s">
        <v>110</v>
      </c>
    </row>
    <row r="3" customFormat="false" ht="15" hidden="false" customHeight="false" outlineLevel="0" collapsed="false">
      <c r="A3" s="5" t="s">
        <v>111</v>
      </c>
    </row>
    <row r="4" customFormat="false" ht="15" hidden="false" customHeight="false" outlineLevel="0" collapsed="false">
      <c r="A4" s="6" t="s">
        <v>112</v>
      </c>
      <c r="B4" s="6" t="s">
        <v>32</v>
      </c>
      <c r="C4" s="6" t="s">
        <v>113</v>
      </c>
      <c r="D4" s="6" t="s">
        <v>114</v>
      </c>
      <c r="E4" s="6" t="s">
        <v>34</v>
      </c>
      <c r="F4" s="6" t="s">
        <v>36</v>
      </c>
      <c r="G4" s="6" t="s">
        <v>37</v>
      </c>
      <c r="H4" s="6" t="s">
        <v>38</v>
      </c>
    </row>
    <row r="5" customFormat="false" ht="15" hidden="false" customHeight="false" outlineLevel="0" collapsed="false">
      <c r="A5" s="2" t="s">
        <v>115</v>
      </c>
      <c r="B5" s="2" t="s">
        <v>116</v>
      </c>
      <c r="C5" s="2" t="n">
        <v>58</v>
      </c>
      <c r="D5" s="7" t="n">
        <v>51</v>
      </c>
      <c r="E5" s="7" t="n">
        <v>88</v>
      </c>
      <c r="F5" s="8" t="n">
        <f aca="false">IF(E5&gt;0,D5/E5,"")</f>
        <v>0.579545454545455</v>
      </c>
      <c r="G5" s="8" t="n">
        <f aca="false">IF(E5&gt;0,MAX(0,((D5/E5)+1.959964^2/(2*E5))/(1+1.959964^2/E5)-(1.959964*SQRT((D5/E5)*(1-D5/E5)/E5+1.959964^2/(4*E5^2)))/(1+1.959964^2/E5)),"")</f>
        <v>0.475207525466693</v>
      </c>
      <c r="H5" s="8" t="n">
        <f aca="false">IF(E5&gt;0,MIN(1,((D5/E5)+1.959964^2/(2*E5))/(1+1.959964^2/E5)+(1.959964*SQRT((D5/E5)*(1-D5/E5)/E5+1.959964^2/(4*E5^2)))/(1+1.959964^2/E5)),"")</f>
        <v>0.677229077463307</v>
      </c>
    </row>
    <row r="6" customFormat="false" ht="15" hidden="false" customHeight="false" outlineLevel="0" collapsed="false">
      <c r="A6" s="2" t="s">
        <v>117</v>
      </c>
      <c r="B6" s="2" t="s">
        <v>116</v>
      </c>
      <c r="C6" s="2" t="n">
        <v>11.6</v>
      </c>
      <c r="D6" s="7" t="n">
        <v>102</v>
      </c>
      <c r="E6" s="7" t="n">
        <v>876</v>
      </c>
      <c r="F6" s="8" t="n">
        <f aca="false">IF(E6&gt;0,D6/E6,"")</f>
        <v>0.116438356164384</v>
      </c>
      <c r="G6" s="8" t="n">
        <f aca="false">IF(E6&gt;0,MAX(0,((D6/E6)+1.959964^2/(2*E6))/(1+1.959964^2/E6)-(1.959964*SQRT((D6/E6)*(1-D6/E6)/E6+1.959964^2/(4*E6^2)))/(1+1.959964^2/E6)),"")</f>
        <v>0.0968529864242988</v>
      </c>
      <c r="H6" s="8" t="n">
        <f aca="false">IF(E6&gt;0,MIN(1,((D6/E6)+1.959964^2/(2*E6))/(1+1.959964^2/E6)+(1.959964*SQRT((D6/E6)*(1-D6/E6)/E6+1.959964^2/(4*E6^2)))/(1+1.959964^2/E6)),"")</f>
        <v>0.139373048145114</v>
      </c>
    </row>
    <row r="7" customFormat="false" ht="15" hidden="false" customHeight="false" outlineLevel="0" collapsed="false">
      <c r="A7" s="2" t="s">
        <v>115</v>
      </c>
      <c r="B7" s="2" t="s">
        <v>118</v>
      </c>
      <c r="C7" s="2" t="n">
        <v>63.9</v>
      </c>
      <c r="D7" s="7" t="n">
        <v>221</v>
      </c>
      <c r="E7" s="7" t="n">
        <v>346</v>
      </c>
      <c r="F7" s="8" t="n">
        <f aca="false">IF(E7&gt;0,D7/E7,"")</f>
        <v>0.638728323699422</v>
      </c>
      <c r="G7" s="8" t="n">
        <f aca="false">IF(E7&gt;0,MAX(0,((D7/E7)+1.959964^2/(2*E7))/(1+1.959964^2/E7)-(1.959964*SQRT((D7/E7)*(1-D7/E7)/E7+1.959964^2/(4*E7^2)))/(1+1.959964^2/E7)),"")</f>
        <v>0.586844943248922</v>
      </c>
      <c r="H7" s="8" t="n">
        <f aca="false">IF(E7&gt;0,MIN(1,((D7/E7)+1.959964^2/(2*E7))/(1+1.959964^2/E7)+(1.959964*SQRT((D7/E7)*(1-D7/E7)/E7+1.959964^2/(4*E7^2)))/(1+1.959964^2/E7)),"")</f>
        <v>0.687565071810424</v>
      </c>
    </row>
    <row r="8" customFormat="false" ht="15" hidden="false" customHeight="false" outlineLevel="0" collapsed="false">
      <c r="A8" s="2" t="s">
        <v>117</v>
      </c>
      <c r="B8" s="2" t="s">
        <v>118</v>
      </c>
      <c r="C8" s="2" t="n">
        <v>24.3</v>
      </c>
      <c r="D8" s="7" t="n">
        <v>166</v>
      </c>
      <c r="E8" s="7" t="n">
        <v>683</v>
      </c>
      <c r="F8" s="8" t="n">
        <f aca="false">IF(E8&gt;0,D8/E8,"")</f>
        <v>0.243045387994144</v>
      </c>
      <c r="G8" s="8" t="n">
        <f aca="false">IF(E8&gt;0,MAX(0,((D8/E8)+1.959964^2/(2*E8))/(1+1.959964^2/E8)-(1.959964*SQRT((D8/E8)*(1-D8/E8)/E8+1.959964^2/(4*E8^2)))/(1+1.959964^2/E8)),"")</f>
        <v>0.212372993152347</v>
      </c>
      <c r="H8" s="8" t="n">
        <f aca="false">IF(E8&gt;0,MIN(1,((D8/E8)+1.959964^2/(2*E8))/(1+1.959964^2/E8)+(1.959964*SQRT((D8/E8)*(1-D8/E8)/E8+1.959964^2/(4*E8^2)))/(1+1.959964^2/E8)),"")</f>
        <v>0.27659204315793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8" min="6" style="0" width="12"/>
  </cols>
  <sheetData>
    <row r="1" customFormat="false" ht="15" hidden="false" customHeight="false" outlineLevel="0" collapsed="false">
      <c r="A1" s="4" t="s">
        <v>119</v>
      </c>
    </row>
    <row r="2" customFormat="false" ht="15" hidden="false" customHeight="false" outlineLevel="0" collapsed="false">
      <c r="A2" s="5" t="s">
        <v>120</v>
      </c>
    </row>
    <row r="3" customFormat="false" ht="15" hidden="false" customHeight="false" outlineLevel="0" collapsed="false">
      <c r="A3" s="5" t="s">
        <v>121</v>
      </c>
    </row>
    <row r="4" customFormat="false" ht="15" hidden="false" customHeight="false" outlineLevel="0" collapsed="false">
      <c r="A4" s="6" t="s">
        <v>122</v>
      </c>
      <c r="B4" s="6" t="s">
        <v>32</v>
      </c>
      <c r="C4" s="6" t="s">
        <v>113</v>
      </c>
      <c r="D4" s="6" t="s">
        <v>114</v>
      </c>
      <c r="E4" s="6" t="s">
        <v>34</v>
      </c>
      <c r="F4" s="6" t="s">
        <v>36</v>
      </c>
      <c r="G4" s="6" t="s">
        <v>37</v>
      </c>
      <c r="H4" s="6" t="s">
        <v>38</v>
      </c>
    </row>
    <row r="5" customFormat="false" ht="15" hidden="false" customHeight="false" outlineLevel="0" collapsed="false">
      <c r="A5" s="2" t="s">
        <v>123</v>
      </c>
      <c r="B5" s="2" t="s">
        <v>116</v>
      </c>
      <c r="C5" s="2" t="n">
        <v>9.6</v>
      </c>
      <c r="D5" s="7" t="n">
        <v>74</v>
      </c>
      <c r="E5" s="7" t="n">
        <v>768</v>
      </c>
      <c r="F5" s="8" t="n">
        <f aca="false">IF(E5&gt;0,D5/E5,"")</f>
        <v>0.0963541666666667</v>
      </c>
      <c r="G5" s="8" t="n">
        <f aca="false">IF(E5&gt;0,MAX(0,((D5/E5)+1.959964^2/(2*E5))/(1+1.959964^2/E5)-(1.959964*SQRT((D5/E5)*(1-D5/E5)/E5+1.959964^2/(4*E5^2)))/(1+1.959964^2/E5)),"")</f>
        <v>0.0774493886597009</v>
      </c>
      <c r="H5" s="8" t="n">
        <f aca="false">IF(E5&gt;0,MIN(1,((D5/E5)+1.959964^2/(2*E5))/(1+1.959964^2/E5)+(1.959964*SQRT((D5/E5)*(1-D5/E5)/E5+1.959964^2/(4*E5^2)))/(1+1.959964^2/E5)),"")</f>
        <v>0.119276839420058</v>
      </c>
    </row>
    <row r="6" customFormat="false" ht="15" hidden="false" customHeight="false" outlineLevel="0" collapsed="false">
      <c r="A6" s="2" t="s">
        <v>124</v>
      </c>
      <c r="B6" s="2" t="s">
        <v>116</v>
      </c>
      <c r="C6" s="2" t="n">
        <v>9.9</v>
      </c>
      <c r="D6" s="7" t="n">
        <v>71</v>
      </c>
      <c r="E6" s="7" t="n">
        <v>717</v>
      </c>
      <c r="F6" s="8" t="n">
        <f aca="false">IF(E6&gt;0,D6/E6,"")</f>
        <v>0.099023709902371</v>
      </c>
      <c r="G6" s="8" t="n">
        <f aca="false">IF(E6&gt;0,MAX(0,((D6/E6)+1.959964^2/(2*E6))/(1+1.959964^2/E6)-(1.959964*SQRT((D6/E6)*(1-D6/E6)/E6+1.959964^2/(4*E6^2)))/(1+1.959964^2/E6)),"")</f>
        <v>0.0792511910453012</v>
      </c>
      <c r="H6" s="8" t="n">
        <f aca="false">IF(E6&gt;0,MIN(1,((D6/E6)+1.959964^2/(2*E6))/(1+1.959964^2/E6)+(1.959964*SQRT((D6/E6)*(1-D6/E6)/E6+1.959964^2/(4*E6^2)))/(1+1.959964^2/E6)),"")</f>
        <v>0.12306993946741</v>
      </c>
    </row>
    <row r="7" customFormat="false" ht="15" hidden="false" customHeight="false" outlineLevel="0" collapsed="false">
      <c r="A7" s="2" t="s">
        <v>125</v>
      </c>
      <c r="B7" s="2" t="s">
        <v>116</v>
      </c>
      <c r="C7" s="2" t="n">
        <v>17.2</v>
      </c>
      <c r="D7" s="7" t="n">
        <v>25</v>
      </c>
      <c r="E7" s="7" t="n">
        <v>147</v>
      </c>
      <c r="F7" s="8" t="n">
        <f aca="false">IF(E7&gt;0,D7/E7,"")</f>
        <v>0.170068027210884</v>
      </c>
      <c r="G7" s="8" t="n">
        <f aca="false">IF(E7&gt;0,MAX(0,((D7/E7)+1.959964^2/(2*E7))/(1+1.959964^2/E7)-(1.959964*SQRT((D7/E7)*(1-D7/E7)/E7+1.959964^2/(4*E7^2)))/(1+1.959964^2/E7)),"")</f>
        <v>0.1179301503554</v>
      </c>
      <c r="H7" s="8" t="n">
        <f aca="false">IF(E7&gt;0,MIN(1,((D7/E7)+1.959964^2/(2*E7))/(1+1.959964^2/E7)+(1.959964*SQRT((D7/E7)*(1-D7/E7)/E7+1.959964^2/(4*E7^2)))/(1+1.959964^2/E7)),"")</f>
        <v>0.239010569262449</v>
      </c>
    </row>
    <row r="8" customFormat="false" ht="15" hidden="false" customHeight="false" outlineLevel="0" collapsed="false">
      <c r="A8" s="2" t="s">
        <v>126</v>
      </c>
      <c r="B8" s="2" t="s">
        <v>116</v>
      </c>
      <c r="C8" s="2" t="n">
        <v>24.6</v>
      </c>
      <c r="D8" s="7" t="n">
        <v>74</v>
      </c>
      <c r="E8" s="7" t="n">
        <v>300</v>
      </c>
      <c r="F8" s="8" t="n">
        <f aca="false">IF(E8&gt;0,D8/E8,"")</f>
        <v>0.246666666666667</v>
      </c>
      <c r="G8" s="8" t="n">
        <f aca="false">IF(E8&gt;0,MAX(0,((D8/E8)+1.959964^2/(2*E8))/(1+1.959964^2/E8)-(1.959964*SQRT((D8/E8)*(1-D8/E8)/E8+1.959964^2/(4*E8^2)))/(1+1.959964^2/E8)),"")</f>
        <v>0.201293802386506</v>
      </c>
      <c r="H8" s="8" t="n">
        <f aca="false">IF(E8&gt;0,MIN(1,((D8/E8)+1.959964^2/(2*E8))/(1+1.959964^2/E8)+(1.959964*SQRT((D8/E8)*(1-D8/E8)/E8+1.959964^2/(4*E8^2)))/(1+1.959964^2/E8)),"")</f>
        <v>0.298445303133708</v>
      </c>
    </row>
    <row r="9" customFormat="false" ht="15" hidden="false" customHeight="false" outlineLevel="0" collapsed="false">
      <c r="A9" s="2" t="s">
        <v>123</v>
      </c>
      <c r="B9" s="2" t="s">
        <v>118</v>
      </c>
      <c r="C9" s="2" t="n">
        <v>25.4</v>
      </c>
      <c r="D9" s="7" t="n">
        <v>209</v>
      </c>
      <c r="E9" s="7" t="n">
        <v>824</v>
      </c>
      <c r="F9" s="8" t="n">
        <f aca="false">IF(E9&gt;0,D9/E9,"")</f>
        <v>0.253640776699029</v>
      </c>
      <c r="G9" s="8" t="n">
        <f aca="false">IF(E9&gt;0,MAX(0,((D9/E9)+1.959964^2/(2*E9))/(1+1.959964^2/E9)-(1.959964*SQRT((D9/E9)*(1-D9/E9)/E9+1.959964^2/(4*E9^2)))/(1+1.959964^2/E9)),"")</f>
        <v>0.22512330518686</v>
      </c>
      <c r="H9" s="8" t="n">
        <f aca="false">IF(E9&gt;0,MIN(1,((D9/E9)+1.959964^2/(2*E9))/(1+1.959964^2/E9)+(1.959964*SQRT((D9/E9)*(1-D9/E9)/E9+1.959964^2/(4*E9^2)))/(1+1.959964^2/E9)),"")</f>
        <v>0.284444625188784</v>
      </c>
    </row>
    <row r="10" customFormat="false" ht="15" hidden="false" customHeight="false" outlineLevel="0" collapsed="false">
      <c r="A10" s="2" t="s">
        <v>124</v>
      </c>
      <c r="B10" s="2" t="s">
        <v>118</v>
      </c>
      <c r="C10" s="2" t="n">
        <v>40</v>
      </c>
      <c r="D10" s="7" t="n">
        <v>292</v>
      </c>
      <c r="E10" s="7" t="n">
        <v>731</v>
      </c>
      <c r="F10" s="8" t="n">
        <f aca="false">IF(E10&gt;0,D10/E10,"")</f>
        <v>0.399452804377565</v>
      </c>
      <c r="G10" s="8" t="n">
        <f aca="false">IF(E10&gt;0,MAX(0,((D10/E10)+1.959964^2/(2*E10))/(1+1.959964^2/E10)-(1.959964*SQRT((D10/E10)*(1-D10/E10)/E10+1.959964^2/(4*E10^2)))/(1+1.959964^2/E10)),"")</f>
        <v>0.364561943745294</v>
      </c>
      <c r="H10" s="8" t="n">
        <f aca="false">IF(E10&gt;0,MIN(1,((D10/E10)+1.959964^2/(2*E10))/(1+1.959964^2/E10)+(1.959964*SQRT((D10/E10)*(1-D10/E10)/E10+1.959964^2/(4*E10^2)))/(1+1.959964^2/E10)),"")</f>
        <v>0.435394906506747</v>
      </c>
    </row>
    <row r="11" customFormat="false" ht="15" hidden="false" customHeight="false" outlineLevel="0" collapsed="false">
      <c r="A11" s="2" t="s">
        <v>125</v>
      </c>
      <c r="B11" s="2" t="s">
        <v>118</v>
      </c>
      <c r="C11" s="2" t="n">
        <v>27.6</v>
      </c>
      <c r="D11" s="7" t="n">
        <v>83</v>
      </c>
      <c r="E11" s="7" t="n">
        <v>301</v>
      </c>
      <c r="F11" s="8" t="n">
        <f aca="false">IF(E11&gt;0,D11/E11,"")</f>
        <v>0.275747508305648</v>
      </c>
      <c r="G11" s="8" t="n">
        <f aca="false">IF(E11&gt;0,MAX(0,((D11/E11)+1.959964^2/(2*E11))/(1+1.959964^2/E11)-(1.959964*SQRT((D11/E11)*(1-D11/E11)/E11+1.959964^2/(4*E11^2)))/(1+1.959964^2/E11)),"")</f>
        <v>0.228327617671558</v>
      </c>
      <c r="H11" s="8" t="n">
        <f aca="false">IF(E11&gt;0,MIN(1,((D11/E11)+1.959964^2/(2*E11))/(1+1.959964^2/E11)+(1.959964*SQRT((D11/E11)*(1-D11/E11)/E11+1.959964^2/(4*E11^2)))/(1+1.959964^2/E11)),"")</f>
        <v>0.328819233365628</v>
      </c>
    </row>
    <row r="12" customFormat="false" ht="15" hidden="false" customHeight="false" outlineLevel="0" collapsed="false">
      <c r="A12" s="2" t="s">
        <v>126</v>
      </c>
      <c r="B12" s="2" t="s">
        <v>118</v>
      </c>
      <c r="C12" s="2" t="n">
        <v>32</v>
      </c>
      <c r="D12" s="7" t="n">
        <v>48</v>
      </c>
      <c r="E12" s="7" t="n">
        <v>150</v>
      </c>
      <c r="F12" s="8" t="n">
        <f aca="false">IF(E12&gt;0,D12/E12,"")</f>
        <v>0.32</v>
      </c>
      <c r="G12" s="8" t="n">
        <f aca="false">IF(E12&gt;0,MAX(0,((D12/E12)+1.959964^2/(2*E12))/(1+1.959964^2/E12)-(1.959964*SQRT((D12/E12)*(1-D12/E12)/E12+1.959964^2/(4*E12^2)))/(1+1.959964^2/E12)),"")</f>
        <v>0.250645290075442</v>
      </c>
      <c r="H12" s="8" t="n">
        <f aca="false">IF(E12&gt;0,MIN(1,((D12/E12)+1.959964^2/(2*E12))/(1+1.959964^2/E12)+(1.959964*SQRT((D12/E12)*(1-D12/E12)/E12+1.959964^2/(4*E12^2)))/(1+1.959964^2/E12)),"")</f>
        <v>0.398343998035337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9"/>
    <col collapsed="false" customWidth="true" hidden="false" outlineLevel="0" max="7" min="6" style="0" width="11"/>
    <col collapsed="false" customWidth="true" hidden="false" outlineLevel="0" max="10" min="8" style="0" width="12"/>
  </cols>
  <sheetData>
    <row r="1" customFormat="false" ht="15" hidden="false" customHeight="false" outlineLevel="0" collapsed="false">
      <c r="A1" s="4" t="s">
        <v>127</v>
      </c>
    </row>
    <row r="2" customFormat="false" ht="15" hidden="false" customHeight="false" outlineLevel="0" collapsed="false">
      <c r="A2" s="5" t="s">
        <v>128</v>
      </c>
    </row>
    <row r="3" customFormat="false" ht="15" hidden="false" customHeight="false" outlineLevel="0" collapsed="false">
      <c r="A3" s="5" t="s">
        <v>107</v>
      </c>
    </row>
    <row r="4" customFormat="false" ht="15" hidden="false" customHeight="false" outlineLevel="0" collapsed="false">
      <c r="A4" s="6" t="s">
        <v>129</v>
      </c>
      <c r="B4" s="6" t="s">
        <v>113</v>
      </c>
      <c r="C4" s="6" t="s">
        <v>130</v>
      </c>
      <c r="D4" s="6" t="s">
        <v>34</v>
      </c>
      <c r="E4" s="6" t="s">
        <v>131</v>
      </c>
      <c r="F4" s="6" t="s">
        <v>132</v>
      </c>
      <c r="G4" s="6" t="s">
        <v>133</v>
      </c>
      <c r="H4" s="6" t="s">
        <v>36</v>
      </c>
      <c r="I4" s="6" t="s">
        <v>37</v>
      </c>
      <c r="J4" s="6" t="s">
        <v>38</v>
      </c>
    </row>
    <row r="5" customFormat="false" ht="15" hidden="false" customHeight="false" outlineLevel="0" collapsed="false">
      <c r="A5" s="2" t="s">
        <v>134</v>
      </c>
      <c r="B5" s="2" t="n">
        <v>12</v>
      </c>
      <c r="C5" s="7" t="n">
        <v>285</v>
      </c>
      <c r="D5" s="7" t="n">
        <v>2377</v>
      </c>
      <c r="E5" s="2" t="n">
        <v>35.6</v>
      </c>
      <c r="F5" s="2" t="n">
        <v>846</v>
      </c>
      <c r="G5" s="2" t="n">
        <v>2377</v>
      </c>
      <c r="H5" s="8" t="n">
        <f aca="false">IF(D5&gt;0,C5/D5,"")</f>
        <v>0.119899032393774</v>
      </c>
      <c r="I5" s="8" t="n">
        <f aca="false">IF(D5&gt;0,MAX(0,((C5/D5)+1.959964^2/(2*D5))/(1+1.959964^2/D5)-(1.959964*SQRT((C5/D5)*(1-C5/D5)/D5+1.959964^2/(4*D5^2)))/(1+1.959964^2/D5)),"")</f>
        <v>0.107449525577709</v>
      </c>
      <c r="J5" s="8" t="n">
        <f aca="false">IF(D5&gt;0,MIN(1,((C5/D5)+1.959964^2/(2*D5))/(1+1.959964^2/D5)+(1.959964*SQRT((C5/D5)*(1-C5/D5)/D5+1.959964^2/(4*D5^2)))/(1+1.959964^2/D5)),"")</f>
        <v>0.133575115832447</v>
      </c>
    </row>
    <row r="6" customFormat="false" ht="15" hidden="false" customHeight="false" outlineLevel="0" collapsed="false">
      <c r="A6" s="2" t="s">
        <v>135</v>
      </c>
      <c r="B6" s="2" t="n">
        <v>12.4</v>
      </c>
      <c r="C6" s="7" t="n">
        <v>151</v>
      </c>
      <c r="D6" s="7" t="n">
        <v>1217</v>
      </c>
      <c r="E6" s="2" t="n">
        <v>18.1</v>
      </c>
      <c r="F6" s="2" t="n">
        <v>220</v>
      </c>
      <c r="G6" s="2" t="n">
        <v>1217</v>
      </c>
      <c r="H6" s="8" t="n">
        <f aca="false">IF(D6&gt;0,C6/D6,"")</f>
        <v>0.124075595727198</v>
      </c>
      <c r="I6" s="8" t="n">
        <f aca="false">IF(D6&gt;0,MAX(0,((C6/D6)+1.959964^2/(2*D6))/(1+1.959964^2/D6)-(1.959964*SQRT((C6/D6)*(1-C6/D6)/D6+1.959964^2/(4*D6^2)))/(1+1.959964^2/D6)),"")</f>
        <v>0.106728202831157</v>
      </c>
      <c r="J6" s="8" t="n">
        <f aca="false">IF(D6&gt;0,MIN(1,((C6/D6)+1.959964^2/(2*D6))/(1+1.959964^2/D6)+(1.959964*SQRT((C6/D6)*(1-C6/D6)/D6+1.959964^2/(4*D6^2)))/(1+1.959964^2/D6)),"")</f>
        <v>0.143788730924968</v>
      </c>
    </row>
    <row r="7" customFormat="false" ht="15" hidden="false" customHeight="false" outlineLevel="0" collapsed="false">
      <c r="A7" s="2" t="s">
        <v>136</v>
      </c>
      <c r="B7" s="2" t="n">
        <v>11.9</v>
      </c>
      <c r="C7" s="7" t="n">
        <v>55</v>
      </c>
      <c r="D7" s="7" t="n">
        <v>459</v>
      </c>
      <c r="E7" s="2" t="n">
        <v>16.8</v>
      </c>
      <c r="F7" s="2" t="n">
        <v>77</v>
      </c>
      <c r="G7" s="2" t="n">
        <v>456</v>
      </c>
      <c r="H7" s="8" t="n">
        <f aca="false">IF(D7&gt;0,C7/D7,"")</f>
        <v>0.119825708061002</v>
      </c>
      <c r="I7" s="8" t="n">
        <f aca="false">IF(D7&gt;0,MAX(0,((C7/D7)+1.959964^2/(2*D7))/(1+1.959964^2/D7)-(1.959964*SQRT((C7/D7)*(1-C7/D7)/D7+1.959964^2/(4*D7^2)))/(1+1.959964^2/D7)),"")</f>
        <v>0.0932269265118678</v>
      </c>
      <c r="J7" s="8" t="n">
        <f aca="false">IF(D7&gt;0,MIN(1,((C7/D7)+1.959964^2/(2*D7))/(1+1.959964^2/D7)+(1.959964*SQRT((C7/D7)*(1-C7/D7)/D7+1.959964^2/(4*D7^2)))/(1+1.959964^2/D7)),"")</f>
        <v>0.152735177134713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4" t="s">
        <v>137</v>
      </c>
    </row>
    <row r="2" customFormat="false" ht="15" hidden="false" customHeight="false" outlineLevel="0" collapsed="false">
      <c r="A2" s="5" t="s">
        <v>138</v>
      </c>
    </row>
    <row r="4" customFormat="false" ht="15" hidden="false" customHeight="false" outlineLevel="0" collapsed="false">
      <c r="A4" s="6" t="s">
        <v>139</v>
      </c>
      <c r="B4" s="6" t="s">
        <v>140</v>
      </c>
      <c r="C4" s="6" t="s">
        <v>141</v>
      </c>
    </row>
    <row r="5" customFormat="false" ht="15" hidden="false" customHeight="false" outlineLevel="0" collapsed="false">
      <c r="A5" s="2" t="s">
        <v>142</v>
      </c>
      <c r="B5" s="2" t="n">
        <v>12.1</v>
      </c>
      <c r="C5" s="2" t="n">
        <v>4053</v>
      </c>
    </row>
    <row r="6" customFormat="false" ht="15" hidden="false" customHeight="false" outlineLevel="0" collapsed="false">
      <c r="A6" s="2" t="s">
        <v>143</v>
      </c>
      <c r="B6" s="2" t="n">
        <v>64.4</v>
      </c>
      <c r="C6" s="2" t="n">
        <v>4053</v>
      </c>
    </row>
    <row r="7" customFormat="false" ht="15" hidden="false" customHeight="false" outlineLevel="0" collapsed="false">
      <c r="A7" s="2" t="s">
        <v>144</v>
      </c>
      <c r="B7" s="2" t="n">
        <v>2.4</v>
      </c>
      <c r="C7" s="2" t="n">
        <v>4053</v>
      </c>
    </row>
    <row r="8" customFormat="false" ht="15" hidden="false" customHeight="false" outlineLevel="0" collapsed="false">
      <c r="A8" s="2" t="s">
        <v>145</v>
      </c>
      <c r="B8" s="2" t="n">
        <v>2</v>
      </c>
      <c r="C8" s="2" t="n">
        <v>4053</v>
      </c>
    </row>
    <row r="9" customFormat="false" ht="15" hidden="false" customHeight="false" outlineLevel="0" collapsed="false">
      <c r="A9" s="2" t="s">
        <v>146</v>
      </c>
      <c r="B9" s="2" t="n">
        <v>19.1</v>
      </c>
      <c r="C9" s="2" t="n">
        <v>4053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7"/>
    <col collapsed="false" customWidth="true" hidden="false" outlineLevel="0" max="6" min="3" style="0" width="10"/>
    <col collapsed="false" customWidth="true" hidden="false" outlineLevel="0" max="9" min="7" style="0" width="12"/>
  </cols>
  <sheetData>
    <row r="1" customFormat="false" ht="15" hidden="false" customHeight="false" outlineLevel="0" collapsed="false">
      <c r="A1" s="4" t="s">
        <v>147</v>
      </c>
    </row>
    <row r="2" customFormat="false" ht="15" hidden="false" customHeight="false" outlineLevel="0" collapsed="false">
      <c r="A2" s="5" t="s">
        <v>148</v>
      </c>
    </row>
    <row r="3" customFormat="false" ht="15" hidden="false" customHeight="false" outlineLevel="0" collapsed="false">
      <c r="A3" s="5" t="s">
        <v>149</v>
      </c>
    </row>
    <row r="4" customFormat="false" ht="15" hidden="false" customHeight="false" outlineLevel="0" collapsed="false">
      <c r="A4" s="6" t="s">
        <v>129</v>
      </c>
      <c r="B4" s="6" t="s">
        <v>75</v>
      </c>
      <c r="C4" s="6" t="s">
        <v>89</v>
      </c>
      <c r="D4" s="6" t="s">
        <v>140</v>
      </c>
      <c r="E4" s="6" t="s">
        <v>114</v>
      </c>
      <c r="F4" s="6" t="s">
        <v>34</v>
      </c>
      <c r="G4" s="6" t="s">
        <v>36</v>
      </c>
      <c r="H4" s="6" t="s">
        <v>37</v>
      </c>
      <c r="I4" s="6" t="s">
        <v>38</v>
      </c>
    </row>
    <row r="5" customFormat="false" ht="15" hidden="false" customHeight="false" outlineLevel="0" collapsed="false">
      <c r="A5" s="2" t="s">
        <v>134</v>
      </c>
      <c r="B5" s="2" t="s">
        <v>150</v>
      </c>
      <c r="C5" s="2" t="n">
        <v>2014</v>
      </c>
      <c r="D5" s="2" t="n">
        <v>3.8</v>
      </c>
      <c r="E5" s="7" t="n">
        <v>5</v>
      </c>
      <c r="F5" s="7" t="n">
        <v>131</v>
      </c>
      <c r="G5" s="8" t="n">
        <f aca="false">IF(F5&gt;0,E5/F5,"")</f>
        <v>0.0381679389312977</v>
      </c>
      <c r="H5" s="8" t="n">
        <f aca="false">IF(F5&gt;0,MAX(0,((E5/F5)+1.959964^2/(2*F5))/(1+1.959964^2/F5)-(1.959964*SQRT((E5/F5)*(1-E5/F5)/F5+1.959964^2/(4*F5^2)))/(1+1.959964^2/F5)),"")</f>
        <v>0.0164113333653275</v>
      </c>
      <c r="I5" s="8" t="n">
        <f aca="false">IF(F5&gt;0,MIN(1,((E5/F5)+1.959964^2/(2*F5))/(1+1.959964^2/F5)+(1.959964*SQRT((E5/F5)*(1-E5/F5)/F5+1.959964^2/(4*F5^2)))/(1+1.959964^2/F5)),"")</f>
        <v>0.0862385415035061</v>
      </c>
    </row>
    <row r="6" customFormat="false" ht="15" hidden="false" customHeight="false" outlineLevel="0" collapsed="false">
      <c r="A6" s="2" t="s">
        <v>134</v>
      </c>
      <c r="B6" s="2" t="s">
        <v>150</v>
      </c>
      <c r="C6" s="2" t="n">
        <v>2016</v>
      </c>
      <c r="D6" s="2" t="n">
        <v>6.3</v>
      </c>
      <c r="E6" s="7" t="n">
        <v>2</v>
      </c>
      <c r="F6" s="7" t="n">
        <v>32</v>
      </c>
      <c r="G6" s="8" t="n">
        <f aca="false">IF(F6&gt;0,E6/F6,"")</f>
        <v>0.0625</v>
      </c>
      <c r="H6" s="8" t="n">
        <f aca="false">IF(F6&gt;0,MAX(0,((E6/F6)+1.959964^2/(2*F6))/(1+1.959964^2/F6)-(1.959964*SQRT((E6/F6)*(1-E6/F6)/F6+1.959964^2/(4*F6^2)))/(1+1.959964^2/F6)),"")</f>
        <v>0.0173105668754589</v>
      </c>
      <c r="I6" s="8" t="n">
        <f aca="false">IF(F6&gt;0,MIN(1,((E6/F6)+1.959964^2/(2*F6))/(1+1.959964^2/F6)+(1.959964*SQRT((E6/F6)*(1-E6/F6)/F6+1.959964^2/(4*F6^2)))/(1+1.959964^2/F6)),"")</f>
        <v>0.201471232918636</v>
      </c>
    </row>
    <row r="7" customFormat="false" ht="15" hidden="false" customHeight="false" outlineLevel="0" collapsed="false">
      <c r="A7" s="2" t="s">
        <v>134</v>
      </c>
      <c r="B7" s="2" t="s">
        <v>151</v>
      </c>
      <c r="C7" s="2" t="n">
        <v>2013</v>
      </c>
      <c r="D7" s="2" t="n">
        <v>0</v>
      </c>
      <c r="E7" s="7" t="n">
        <v>0</v>
      </c>
      <c r="F7" s="7" t="n">
        <v>37</v>
      </c>
      <c r="G7" s="8" t="n">
        <f aca="false">IF(F7&gt;0,E7/F7,"")</f>
        <v>0</v>
      </c>
      <c r="H7" s="8" t="n">
        <f aca="false">IF(F7&gt;0,MAX(0,((E7/F7)+1.959964^2/(2*F7))/(1+1.959964^2/F7)-(1.959964*SQRT((E7/F7)*(1-E7/F7)/F7+1.959964^2/(4*F7^2)))/(1+1.959964^2/F7)),"")</f>
        <v>0</v>
      </c>
      <c r="I7" s="8" t="n">
        <f aca="false">IF(F7&gt;0,MIN(1,((E7/F7)+1.959964^2/(2*F7))/(1+1.959964^2/F7)+(1.959964*SQRT((E7/F7)*(1-E7/F7)/F7+1.959964^2/(4*F7^2)))/(1+1.959964^2/F7)),"")</f>
        <v>0.0940578271814687</v>
      </c>
    </row>
    <row r="8" customFormat="false" ht="15" hidden="false" customHeight="false" outlineLevel="0" collapsed="false">
      <c r="A8" s="2" t="s">
        <v>134</v>
      </c>
      <c r="B8" s="2" t="s">
        <v>151</v>
      </c>
      <c r="C8" s="2" t="n">
        <v>2015</v>
      </c>
      <c r="D8" s="2" t="n">
        <v>9.1</v>
      </c>
      <c r="E8" s="7" t="n">
        <v>4</v>
      </c>
      <c r="F8" s="7" t="n">
        <v>44</v>
      </c>
      <c r="G8" s="8" t="n">
        <f aca="false">IF(F8&gt;0,E8/F8,"")</f>
        <v>0.0909090909090909</v>
      </c>
      <c r="H8" s="8" t="n">
        <f aca="false">IF(F8&gt;0,MAX(0,((E8/F8)+1.959964^2/(2*F8))/(1+1.959964^2/F8)-(1.959964*SQRT((E8/F8)*(1-E8/F8)/F8+1.959964^2/(4*F8^2)))/(1+1.959964^2/F8)),"")</f>
        <v>0.0359221929775933</v>
      </c>
      <c r="I8" s="8" t="n">
        <f aca="false">IF(F8&gt;0,MIN(1,((E8/F8)+1.959964^2/(2*F8))/(1+1.959964^2/F8)+(1.959964*SQRT((E8/F8)*(1-E8/F8)/F8+1.959964^2/(4*F8^2)))/(1+1.959964^2/F8)),"")</f>
        <v>0.2115923928689</v>
      </c>
    </row>
    <row r="9" customFormat="false" ht="15" hidden="false" customHeight="false" outlineLevel="0" collapsed="false">
      <c r="A9" s="2" t="s">
        <v>134</v>
      </c>
      <c r="B9" s="2" t="s">
        <v>152</v>
      </c>
      <c r="C9" s="2" t="n">
        <v>2015</v>
      </c>
      <c r="D9" s="2" t="n">
        <v>4.7</v>
      </c>
      <c r="E9" s="7" t="n">
        <v>6</v>
      </c>
      <c r="F9" s="7" t="n">
        <v>121</v>
      </c>
      <c r="G9" s="8" t="n">
        <f aca="false">IF(F9&gt;0,E9/F9,"")</f>
        <v>0.0495867768595041</v>
      </c>
      <c r="H9" s="8" t="n">
        <f aca="false">IF(F9&gt;0,MAX(0,((E9/F9)+1.959964^2/(2*F9))/(1+1.959964^2/F9)-(1.959964*SQRT((E9/F9)*(1-E9/F9)/F9+1.959964^2/(4*F9^2)))/(1+1.959964^2/F9)),"")</f>
        <v>0.0229216739371848</v>
      </c>
      <c r="I9" s="8" t="n">
        <f aca="false">IF(F9&gt;0,MIN(1,((E9/F9)+1.959964^2/(2*F9))/(1+1.959964^2/F9)+(1.959964*SQRT((E9/F9)*(1-E9/F9)/F9+1.959964^2/(4*F9^2)))/(1+1.959964^2/F9)),"")</f>
        <v>0.103970938687269</v>
      </c>
    </row>
    <row r="10" customFormat="false" ht="15" hidden="false" customHeight="false" outlineLevel="0" collapsed="false">
      <c r="A10" s="2" t="s">
        <v>134</v>
      </c>
      <c r="B10" s="2" t="s">
        <v>152</v>
      </c>
      <c r="C10" s="2" t="n">
        <v>2016</v>
      </c>
      <c r="D10" s="2" t="n">
        <v>25.9</v>
      </c>
      <c r="E10" s="7" t="n">
        <v>7</v>
      </c>
      <c r="F10" s="7" t="n">
        <v>27</v>
      </c>
      <c r="G10" s="8" t="n">
        <f aca="false">IF(F10&gt;0,E10/F10,"")</f>
        <v>0.259259259259259</v>
      </c>
      <c r="H10" s="8" t="n">
        <f aca="false">IF(F10&gt;0,MAX(0,((E10/F10)+1.959964^2/(2*F10))/(1+1.959964^2/F10)-(1.959964*SQRT((E10/F10)*(1-E10/F10)/F10+1.959964^2/(4*F10^2)))/(1+1.959964^2/F10)),"")</f>
        <v>0.131703744905901</v>
      </c>
      <c r="I10" s="8" t="n">
        <f aca="false">IF(F10&gt;0,MIN(1,((E10/F10)+1.959964^2/(2*F10))/(1+1.959964^2/F10)+(1.959964*SQRT((E10/F10)*(1-E10/F10)/F10+1.959964^2/(4*F10^2)))/(1+1.959964^2/F10)),"")</f>
        <v>0.446785714686948</v>
      </c>
    </row>
    <row r="11" customFormat="false" ht="15" hidden="false" customHeight="false" outlineLevel="0" collapsed="false">
      <c r="A11" s="2" t="s">
        <v>134</v>
      </c>
      <c r="B11" s="2" t="s">
        <v>152</v>
      </c>
      <c r="C11" s="2" t="n">
        <v>2017</v>
      </c>
      <c r="D11" s="2" t="n">
        <v>47.2</v>
      </c>
      <c r="E11" s="7" t="n">
        <v>17</v>
      </c>
      <c r="F11" s="7" t="n">
        <v>36</v>
      </c>
      <c r="G11" s="8" t="n">
        <f aca="false">IF(F11&gt;0,E11/F11,"")</f>
        <v>0.472222222222222</v>
      </c>
      <c r="H11" s="8" t="n">
        <f aca="false">IF(F11&gt;0,MAX(0,((E11/F11)+1.959964^2/(2*F11))/(1+1.959964^2/F11)-(1.959964*SQRT((E11/F11)*(1-E11/F11)/F11+1.959964^2/(4*F11^2)))/(1+1.959964^2/F11)),"")</f>
        <v>0.319860414084616</v>
      </c>
      <c r="I11" s="8" t="n">
        <f aca="false">IF(F11&gt;0,MIN(1,((E11/F11)+1.959964^2/(2*F11))/(1+1.959964^2/F11)+(1.959964*SQRT((E11/F11)*(1-E11/F11)/F11+1.959964^2/(4*F11^2)))/(1+1.959964^2/F11)),"")</f>
        <v>0.629940620913655</v>
      </c>
    </row>
    <row r="12" customFormat="false" ht="15" hidden="false" customHeight="false" outlineLevel="0" collapsed="false">
      <c r="A12" s="2" t="s">
        <v>134</v>
      </c>
      <c r="B12" s="2" t="s">
        <v>153</v>
      </c>
      <c r="C12" s="2" t="n">
        <v>2014</v>
      </c>
      <c r="D12" s="2" t="n">
        <v>5.3</v>
      </c>
      <c r="E12" s="7" t="n">
        <v>6</v>
      </c>
      <c r="F12" s="7" t="n">
        <v>113</v>
      </c>
      <c r="G12" s="8" t="n">
        <f aca="false">IF(F12&gt;0,E12/F12,"")</f>
        <v>0.0530973451327434</v>
      </c>
      <c r="H12" s="8" t="n">
        <f aca="false">IF(F12&gt;0,MAX(0,((E12/F12)+1.959964^2/(2*F12))/(1+1.959964^2/F12)-(1.959964*SQRT((E12/F12)*(1-E12/F12)/F12+1.959964^2/(4*F12^2)))/(1+1.959964^2/F12)),"")</f>
        <v>0.024559590277953</v>
      </c>
      <c r="I12" s="8" t="n">
        <f aca="false">IF(F12&gt;0,MIN(1,((E12/F12)+1.959964^2/(2*F12))/(1+1.959964^2/F12)+(1.959964*SQRT((E12/F12)*(1-E12/F12)/F12+1.959964^2/(4*F12^2)))/(1+1.959964^2/F12)),"")</f>
        <v>0.111021213256775</v>
      </c>
    </row>
    <row r="13" customFormat="false" ht="15" hidden="false" customHeight="false" outlineLevel="0" collapsed="false">
      <c r="A13" s="2" t="s">
        <v>134</v>
      </c>
      <c r="B13" s="2" t="s">
        <v>153</v>
      </c>
      <c r="C13" s="2" t="n">
        <v>2018</v>
      </c>
      <c r="D13" s="2" t="n">
        <v>20</v>
      </c>
      <c r="E13" s="7" t="n">
        <v>19</v>
      </c>
      <c r="F13" s="7" t="n">
        <v>95</v>
      </c>
      <c r="G13" s="8" t="n">
        <f aca="false">IF(F13&gt;0,E13/F13,"")</f>
        <v>0.2</v>
      </c>
      <c r="H13" s="8" t="n">
        <f aca="false">IF(F13&gt;0,MAX(0,((E13/F13)+1.959964^2/(2*F13))/(1+1.959964^2/F13)-(1.959964*SQRT((E13/F13)*(1-E13/F13)/F13+1.959964^2/(4*F13^2)))/(1+1.959964^2/F13)),"")</f>
        <v>0.131945470135919</v>
      </c>
      <c r="I13" s="8" t="n">
        <f aca="false">IF(F13&gt;0,MIN(1,((E13/F13)+1.959964^2/(2*F13))/(1+1.959964^2/F13)+(1.959964*SQRT((E13/F13)*(1-E13/F13)/F13+1.959964^2/(4*F13^2)))/(1+1.959964^2/F13)),"")</f>
        <v>0.29137344234134</v>
      </c>
    </row>
    <row r="14" customFormat="false" ht="15" hidden="false" customHeight="false" outlineLevel="0" collapsed="false">
      <c r="A14" s="2" t="s">
        <v>134</v>
      </c>
      <c r="B14" s="2" t="s">
        <v>154</v>
      </c>
      <c r="C14" s="2" t="n">
        <v>2013</v>
      </c>
      <c r="D14" s="2" t="n">
        <v>0</v>
      </c>
      <c r="E14" s="7" t="n">
        <v>0</v>
      </c>
      <c r="F14" s="7" t="n">
        <v>17</v>
      </c>
      <c r="G14" s="8" t="n">
        <f aca="false">IF(F14&gt;0,E14/F14,"")</f>
        <v>0</v>
      </c>
      <c r="H14" s="8" t="n">
        <f aca="false">IF(F14&gt;0,MAX(0,((E14/F14)+1.959964^2/(2*F14))/(1+1.959964^2/F14)-(1.959964*SQRT((E14/F14)*(1-E14/F14)/F14+1.959964^2/(4*F14^2)))/(1+1.959964^2/F14)),"")</f>
        <v>0</v>
      </c>
      <c r="I14" s="8" t="n">
        <f aca="false">IF(F14&gt;0,MIN(1,((E14/F14)+1.959964^2/(2*F14))/(1+1.959964^2/F14)+(1.959964*SQRT((E14/F14)*(1-E14/F14)/F14+1.959964^2/(4*F14^2)))/(1+1.959964^2/F14)),"")</f>
        <v>0.184318137380656</v>
      </c>
    </row>
    <row r="15" customFormat="false" ht="15" hidden="false" customHeight="false" outlineLevel="0" collapsed="false">
      <c r="A15" s="2" t="s">
        <v>134</v>
      </c>
      <c r="B15" s="2" t="s">
        <v>154</v>
      </c>
      <c r="C15" s="2" t="n">
        <v>2015</v>
      </c>
      <c r="D15" s="2" t="n">
        <v>13.8</v>
      </c>
      <c r="E15" s="7" t="n">
        <v>4</v>
      </c>
      <c r="F15" s="7" t="n">
        <v>29</v>
      </c>
      <c r="G15" s="8" t="n">
        <f aca="false">IF(F15&gt;0,E15/F15,"")</f>
        <v>0.137931034482759</v>
      </c>
      <c r="H15" s="8" t="n">
        <f aca="false">IF(F15&gt;0,MAX(0,((E15/F15)+1.959964^2/(2*F15))/(1+1.959964^2/F15)-(1.959964*SQRT((E15/F15)*(1-E15/F15)/F15+1.959964^2/(4*F15^2)))/(1+1.959964^2/F15)),"")</f>
        <v>0.0549743992585947</v>
      </c>
      <c r="I15" s="8" t="n">
        <f aca="false">IF(F15&gt;0,MIN(1,((E15/F15)+1.959964^2/(2*F15))/(1+1.959964^2/F15)+(1.959964*SQRT((E15/F15)*(1-E15/F15)/F15+1.959964^2/(4*F15^2)))/(1+1.959964^2/F15)),"")</f>
        <v>0.305589938765987</v>
      </c>
    </row>
    <row r="16" customFormat="false" ht="15" hidden="false" customHeight="false" outlineLevel="0" collapsed="false">
      <c r="A16" s="2" t="s">
        <v>134</v>
      </c>
      <c r="B16" s="2" t="s">
        <v>154</v>
      </c>
      <c r="C16" s="2" t="n">
        <v>2016</v>
      </c>
      <c r="D16" s="2" t="n">
        <v>8.7</v>
      </c>
      <c r="E16" s="7" t="n">
        <v>2</v>
      </c>
      <c r="F16" s="7" t="n">
        <v>23</v>
      </c>
      <c r="G16" s="8" t="n">
        <f aca="false">IF(F16&gt;0,E16/F16,"")</f>
        <v>0.0869565217391304</v>
      </c>
      <c r="H16" s="8" t="n">
        <f aca="false">IF(F16&gt;0,MAX(0,((E16/F16)+1.959964^2/(2*F16))/(1+1.959964^2/F16)-(1.959964*SQRT((E16/F16)*(1-E16/F16)/F16+1.959964^2/(4*F16^2)))/(1+1.959964^2/F16)),"")</f>
        <v>0.0241800042656918</v>
      </c>
      <c r="I16" s="8" t="n">
        <f aca="false">IF(F16&gt;0,MIN(1,((E16/F16)+1.959964^2/(2*F16))/(1+1.959964^2/F16)+(1.959964*SQRT((E16/F16)*(1-E16/F16)/F16+1.959964^2/(4*F16^2)))/(1+1.959964^2/F16)),"")</f>
        <v>0.267959812574152</v>
      </c>
    </row>
    <row r="17" customFormat="false" ht="15" hidden="false" customHeight="false" outlineLevel="0" collapsed="false">
      <c r="A17" s="2" t="s">
        <v>134</v>
      </c>
      <c r="B17" s="2" t="s">
        <v>155</v>
      </c>
      <c r="C17" s="2" t="n">
        <v>2013</v>
      </c>
      <c r="D17" s="2" t="n">
        <v>7</v>
      </c>
      <c r="E17" s="7" t="n">
        <v>5</v>
      </c>
      <c r="F17" s="7" t="n">
        <v>71</v>
      </c>
      <c r="G17" s="8" t="n">
        <f aca="false">IF(F17&gt;0,E17/F17,"")</f>
        <v>0.0704225352112676</v>
      </c>
      <c r="H17" s="8" t="n">
        <f aca="false">IF(F17&gt;0,MAX(0,((E17/F17)+1.959964^2/(2*F17))/(1+1.959964^2/F17)-(1.959964*SQRT((E17/F17)*(1-E17/F17)/F17+1.959964^2/(4*F17^2)))/(1+1.959964^2/F17)),"")</f>
        <v>0.0304536022469578</v>
      </c>
      <c r="I17" s="8" t="n">
        <f aca="false">IF(F17&gt;0,MIN(1,((E17/F17)+1.959964^2/(2*F17))/(1+1.959964^2/F17)+(1.959964*SQRT((E17/F17)*(1-E17/F17)/F17+1.959964^2/(4*F17^2)))/(1+1.959964^2/F17)),"")</f>
        <v>0.154490131990633</v>
      </c>
    </row>
    <row r="18" customFormat="false" ht="15" hidden="false" customHeight="false" outlineLevel="0" collapsed="false">
      <c r="A18" s="2" t="s">
        <v>134</v>
      </c>
      <c r="B18" s="2" t="s">
        <v>155</v>
      </c>
      <c r="C18" s="2" t="n">
        <v>2014</v>
      </c>
      <c r="D18" s="2" t="n">
        <v>4.3</v>
      </c>
      <c r="E18" s="7" t="n">
        <v>4</v>
      </c>
      <c r="F18" s="7" t="n">
        <v>93</v>
      </c>
      <c r="G18" s="8" t="n">
        <f aca="false">IF(F18&gt;0,E18/F18,"")</f>
        <v>0.043010752688172</v>
      </c>
      <c r="H18" s="8" t="n">
        <f aca="false">IF(F18&gt;0,MAX(0,((E18/F18)+1.959964^2/(2*F18))/(1+1.959964^2/F18)-(1.959964*SQRT((E18/F18)*(1-E18/F18)/F18+1.959964^2/(4*F18^2)))/(1+1.959964^2/F18)),"")</f>
        <v>0.0168511538767101</v>
      </c>
      <c r="I18" s="8" t="n">
        <f aca="false">IF(F18&gt;0,MIN(1,((E18/F18)+1.959964^2/(2*F18))/(1+1.959964^2/F18)+(1.959964*SQRT((E18/F18)*(1-E18/F18)/F18+1.959964^2/(4*F18^2)))/(1+1.959964^2/F18)),"")</f>
        <v>0.105425596371453</v>
      </c>
    </row>
    <row r="19" customFormat="false" ht="15" hidden="false" customHeight="false" outlineLevel="0" collapsed="false">
      <c r="A19" s="2" t="s">
        <v>134</v>
      </c>
      <c r="B19" s="2" t="s">
        <v>155</v>
      </c>
      <c r="C19" s="2" t="n">
        <v>2015</v>
      </c>
      <c r="D19" s="2" t="n">
        <v>5.2</v>
      </c>
      <c r="E19" s="7" t="n">
        <v>5</v>
      </c>
      <c r="F19" s="7" t="n">
        <v>97</v>
      </c>
      <c r="G19" s="8" t="n">
        <f aca="false">IF(F19&gt;0,E19/F19,"")</f>
        <v>0.0515463917525773</v>
      </c>
      <c r="H19" s="8" t="n">
        <f aca="false">IF(F19&gt;0,MAX(0,((E19/F19)+1.959964^2/(2*F19))/(1+1.959964^2/F19)-(1.959964*SQRT((E19/F19)*(1-E19/F19)/F19+1.959964^2/(4*F19^2)))/(1+1.959964^2/F19)),"")</f>
        <v>0.0222160508968799</v>
      </c>
      <c r="I19" s="8" t="n">
        <f aca="false">IF(F19&gt;0,MIN(1,((E19/F19)+1.959964^2/(2*F19))/(1+1.959964^2/F19)+(1.959964*SQRT((E19/F19)*(1-E19/F19)/F19+1.959964^2/(4*F19^2)))/(1+1.959964^2/F19)),"")</f>
        <v>0.115043554773733</v>
      </c>
    </row>
    <row r="20" customFormat="false" ht="15" hidden="false" customHeight="false" outlineLevel="0" collapsed="false">
      <c r="A20" s="2" t="s">
        <v>134</v>
      </c>
      <c r="B20" s="2" t="s">
        <v>155</v>
      </c>
      <c r="C20" s="2" t="n">
        <v>2016</v>
      </c>
      <c r="D20" s="2" t="n">
        <v>18.1</v>
      </c>
      <c r="E20" s="7" t="n">
        <v>15</v>
      </c>
      <c r="F20" s="7" t="n">
        <v>83</v>
      </c>
      <c r="G20" s="8" t="n">
        <f aca="false">IF(F20&gt;0,E20/F20,"")</f>
        <v>0.180722891566265</v>
      </c>
      <c r="H20" s="8" t="n">
        <f aca="false">IF(F20&gt;0,MAX(0,((E20/F20)+1.959964^2/(2*F20))/(1+1.959964^2/F20)-(1.959964*SQRT((E20/F20)*(1-E20/F20)/F20+1.959964^2/(4*F20^2)))/(1+1.959964^2/F20)),"")</f>
        <v>0.112693657870501</v>
      </c>
      <c r="I20" s="8" t="n">
        <f aca="false">IF(F20&gt;0,MIN(1,((E20/F20)+1.959964^2/(2*F20))/(1+1.959964^2/F20)+(1.959964*SQRT((E20/F20)*(1-E20/F20)/F20+1.959964^2/(4*F20^2)))/(1+1.959964^2/F20)),"")</f>
        <v>0.27699876919425</v>
      </c>
    </row>
    <row r="21" customFormat="false" ht="15" hidden="false" customHeight="false" outlineLevel="0" collapsed="false">
      <c r="A21" s="2" t="s">
        <v>134</v>
      </c>
      <c r="B21" s="2" t="s">
        <v>155</v>
      </c>
      <c r="C21" s="2" t="n">
        <v>2017</v>
      </c>
      <c r="D21" s="2" t="n">
        <v>21.7</v>
      </c>
      <c r="E21" s="7" t="n">
        <v>20</v>
      </c>
      <c r="F21" s="7" t="n">
        <v>92</v>
      </c>
      <c r="G21" s="8" t="n">
        <f aca="false">IF(F21&gt;0,E21/F21,"")</f>
        <v>0.217391304347826</v>
      </c>
      <c r="H21" s="8" t="n">
        <f aca="false">IF(F21&gt;0,MAX(0,((E21/F21)+1.959964^2/(2*F21))/(1+1.959964^2/F21)-(1.959964*SQRT((E21/F21)*(1-E21/F21)/F21+1.959964^2/(4*F21^2)))/(1+1.959964^2/F21)),"")</f>
        <v>0.145367295548583</v>
      </c>
      <c r="I21" s="8" t="n">
        <f aca="false">IF(F21&gt;0,MIN(1,((E21/F21)+1.959964^2/(2*F21))/(1+1.959964^2/F21)+(1.959964*SQRT((E21/F21)*(1-E21/F21)/F21+1.959964^2/(4*F21^2)))/(1+1.959964^2/F21)),"")</f>
        <v>0.312070011782012</v>
      </c>
    </row>
    <row r="22" customFormat="false" ht="15" hidden="false" customHeight="false" outlineLevel="0" collapsed="false">
      <c r="A22" s="2" t="s">
        <v>134</v>
      </c>
      <c r="B22" s="2" t="s">
        <v>155</v>
      </c>
      <c r="C22" s="2" t="n">
        <v>2018</v>
      </c>
      <c r="D22" s="2" t="n">
        <v>16.5</v>
      </c>
      <c r="E22" s="7" t="n">
        <v>32</v>
      </c>
      <c r="F22" s="7" t="n">
        <v>194</v>
      </c>
      <c r="G22" s="8" t="n">
        <f aca="false">IF(F22&gt;0,E22/F22,"")</f>
        <v>0.164948453608247</v>
      </c>
      <c r="H22" s="8" t="n">
        <f aca="false">IF(F22&gt;0,MAX(0,((E22/F22)+1.959964^2/(2*F22))/(1+1.959964^2/F22)-(1.959964*SQRT((E22/F22)*(1-E22/F22)/F22+1.959964^2/(4*F22^2)))/(1+1.959964^2/F22)),"")</f>
        <v>0.119331073460954</v>
      </c>
      <c r="I22" s="8" t="n">
        <f aca="false">IF(F22&gt;0,MIN(1,((E22/F22)+1.959964^2/(2*F22))/(1+1.959964^2/F22)+(1.959964*SQRT((E22/F22)*(1-E22/F22)/F22+1.959964^2/(4*F22^2)))/(1+1.959964^2/F22)),"")</f>
        <v>0.223577128211784</v>
      </c>
    </row>
    <row r="23" customFormat="false" ht="15" hidden="false" customHeight="false" outlineLevel="0" collapsed="false">
      <c r="A23" s="2" t="s">
        <v>134</v>
      </c>
      <c r="B23" s="2" t="s">
        <v>156</v>
      </c>
      <c r="C23" s="2" t="n">
        <v>2013</v>
      </c>
      <c r="D23" s="2" t="n">
        <v>3</v>
      </c>
      <c r="E23" s="7" t="n">
        <v>5</v>
      </c>
      <c r="F23" s="7" t="n">
        <v>168</v>
      </c>
      <c r="G23" s="8" t="n">
        <f aca="false">IF(F23&gt;0,E23/F23,"")</f>
        <v>0.0297619047619048</v>
      </c>
      <c r="H23" s="8" t="n">
        <f aca="false">IF(F23&gt;0,MAX(0,((E23/F23)+1.959964^2/(2*F23))/(1+1.959964^2/F23)-(1.959964*SQRT((E23/F23)*(1-E23/F23)/F23+1.959964^2/(4*F23^2)))/(1+1.959964^2/F23)),"")</f>
        <v>0.0127781236959482</v>
      </c>
      <c r="I23" s="8" t="n">
        <f aca="false">IF(F23&gt;0,MIN(1,((E23/F23)+1.959964^2/(2*F23))/(1+1.959964^2/F23)+(1.959964*SQRT((E23/F23)*(1-E23/F23)/F23+1.959964^2/(4*F23^2)))/(1+1.959964^2/F23)),"")</f>
        <v>0.0677697194811593</v>
      </c>
    </row>
    <row r="24" customFormat="false" ht="15" hidden="false" customHeight="false" outlineLevel="0" collapsed="false">
      <c r="A24" s="2" t="s">
        <v>134</v>
      </c>
      <c r="B24" s="2" t="s">
        <v>156</v>
      </c>
      <c r="C24" s="2" t="n">
        <v>2014</v>
      </c>
      <c r="D24" s="2" t="n">
        <v>0</v>
      </c>
      <c r="E24" s="7" t="n">
        <v>0</v>
      </c>
      <c r="F24" s="7" t="n">
        <v>85</v>
      </c>
      <c r="G24" s="8" t="n">
        <f aca="false">IF(F24&gt;0,E24/F24,"")</f>
        <v>0</v>
      </c>
      <c r="H24" s="8" t="n">
        <f aca="false">IF(F24&gt;0,MAX(0,((E24/F24)+1.959964^2/(2*F24))/(1+1.959964^2/F24)-(1.959964*SQRT((E24/F24)*(1-E24/F24)/F24+1.959964^2/(4*F24^2)))/(1+1.959964^2/F24)),"")</f>
        <v>0</v>
      </c>
      <c r="I24" s="8" t="n">
        <f aca="false">IF(F24&gt;0,MIN(1,((E24/F24)+1.959964^2/(2*F24))/(1+1.959964^2/F24)+(1.959964*SQRT((E24/F24)*(1-E24/F24)/F24+1.959964^2/(4*F24^2)))/(1+1.959964^2/F24)),"")</f>
        <v>0.0432394844666914</v>
      </c>
    </row>
    <row r="25" customFormat="false" ht="15" hidden="false" customHeight="false" outlineLevel="0" collapsed="false">
      <c r="A25" s="2" t="s">
        <v>134</v>
      </c>
      <c r="B25" s="2" t="s">
        <v>156</v>
      </c>
      <c r="C25" s="2" t="n">
        <v>2015</v>
      </c>
      <c r="D25" s="2" t="n">
        <v>6.6</v>
      </c>
      <c r="E25" s="7" t="n">
        <v>10</v>
      </c>
      <c r="F25" s="7" t="n">
        <v>150</v>
      </c>
      <c r="G25" s="8" t="n">
        <f aca="false">IF(F25&gt;0,E25/F25,"")</f>
        <v>0.0666666666666667</v>
      </c>
      <c r="H25" s="8" t="n">
        <f aca="false">IF(F25&gt;0,MAX(0,((E25/F25)+1.959964^2/(2*F25))/(1+1.959964^2/F25)-(1.959964*SQRT((E25/F25)*(1-E25/F25)/F25+1.959964^2/(4*F25^2)))/(1+1.959964^2/F25)),"")</f>
        <v>0.036611856499648</v>
      </c>
      <c r="I25" s="8" t="n">
        <f aca="false">IF(F25&gt;0,MIN(1,((E25/F25)+1.959964^2/(2*F25))/(1+1.959964^2/F25)+(1.959964*SQRT((E25/F25)*(1-E25/F25)/F25+1.959964^2/(4*F25^2)))/(1+1.959964^2/F25)),"")</f>
        <v>0.118362355618895</v>
      </c>
    </row>
    <row r="26" customFormat="false" ht="15" hidden="false" customHeight="false" outlineLevel="0" collapsed="false">
      <c r="A26" s="2" t="s">
        <v>134</v>
      </c>
      <c r="B26" s="2" t="s">
        <v>156</v>
      </c>
      <c r="C26" s="2" t="n">
        <v>2016</v>
      </c>
      <c r="D26" s="2" t="n">
        <v>18</v>
      </c>
      <c r="E26" s="7" t="n">
        <v>23</v>
      </c>
      <c r="F26" s="7" t="n">
        <v>130</v>
      </c>
      <c r="G26" s="8" t="n">
        <f aca="false">IF(F26&gt;0,E26/F26,"")</f>
        <v>0.176923076923077</v>
      </c>
      <c r="H26" s="8" t="n">
        <f aca="false">IF(F26&gt;0,MAX(0,((E26/F26)+1.959964^2/(2*F26))/(1+1.959964^2/F26)-(1.959964*SQRT((E26/F26)*(1-E26/F26)/F26+1.959964^2/(4*F26^2)))/(1+1.959964^2/F26)),"")</f>
        <v>0.12088475828018</v>
      </c>
      <c r="I26" s="8" t="n">
        <f aca="false">IF(F26&gt;0,MIN(1,((E26/F26)+1.959964^2/(2*F26))/(1+1.959964^2/F26)+(1.959964*SQRT((E26/F26)*(1-E26/F26)/F26+1.959964^2/(4*F26^2)))/(1+1.959964^2/F26)),"")</f>
        <v>0.25150702000655</v>
      </c>
    </row>
    <row r="27" customFormat="false" ht="15" hidden="false" customHeight="false" outlineLevel="0" collapsed="false">
      <c r="A27" s="2" t="s">
        <v>134</v>
      </c>
      <c r="B27" s="2" t="s">
        <v>156</v>
      </c>
      <c r="C27" s="2" t="n">
        <v>2017</v>
      </c>
      <c r="D27" s="2" t="n">
        <v>38.6</v>
      </c>
      <c r="E27" s="7" t="n">
        <v>51</v>
      </c>
      <c r="F27" s="7" t="n">
        <v>133</v>
      </c>
      <c r="G27" s="8" t="n">
        <f aca="false">IF(F27&gt;0,E27/F27,"")</f>
        <v>0.383458646616541</v>
      </c>
      <c r="H27" s="8" t="n">
        <f aca="false">IF(F27&gt;0,MAX(0,((E27/F27)+1.959964^2/(2*F27))/(1+1.959964^2/F27)-(1.959964*SQRT((E27/F27)*(1-E27/F27)/F27+1.959964^2/(4*F27^2)))/(1+1.959964^2/F27)),"")</f>
        <v>0.305197964074486</v>
      </c>
      <c r="I27" s="8" t="n">
        <f aca="false">IF(F27&gt;0,MIN(1,((E27/F27)+1.959964^2/(2*F27))/(1+1.959964^2/F27)+(1.959964*SQRT((E27/F27)*(1-E27/F27)/F27+1.959964^2/(4*F27^2)))/(1+1.959964^2/F27)),"")</f>
        <v>0.468262504314037</v>
      </c>
    </row>
    <row r="28" customFormat="false" ht="15" hidden="false" customHeight="false" outlineLevel="0" collapsed="false">
      <c r="A28" s="2" t="s">
        <v>134</v>
      </c>
      <c r="B28" s="2" t="s">
        <v>156</v>
      </c>
      <c r="C28" s="2" t="n">
        <v>2018</v>
      </c>
      <c r="D28" s="2" t="n">
        <v>27.1</v>
      </c>
      <c r="E28" s="7" t="n">
        <v>26</v>
      </c>
      <c r="F28" s="7" t="n">
        <v>96</v>
      </c>
      <c r="G28" s="8" t="n">
        <f aca="false">IF(F28&gt;0,E28/F28,"")</f>
        <v>0.270833333333333</v>
      </c>
      <c r="H28" s="8" t="n">
        <f aca="false">IF(F28&gt;0,MAX(0,((E28/F28)+1.959964^2/(2*F28))/(1+1.959964^2/F28)-(1.959964*SQRT((E28/F28)*(1-E28/F28)/F28+1.959964^2/(4*F28^2)))/(1+1.959964^2/F28)),"")</f>
        <v>0.192037837491948</v>
      </c>
      <c r="I28" s="8" t="n">
        <f aca="false">IF(F28&gt;0,MIN(1,((E28/F28)+1.959964^2/(2*F28))/(1+1.959964^2/F28)+(1.959964*SQRT((E28/F28)*(1-E28/F28)/F28+1.959964^2/(4*F28^2)))/(1+1.959964^2/F28)),"")</f>
        <v>0.367263473876982</v>
      </c>
    </row>
    <row r="29" customFormat="false" ht="15" hidden="false" customHeight="false" outlineLevel="0" collapsed="false">
      <c r="A29" s="2" t="s">
        <v>135</v>
      </c>
      <c r="B29" s="2" t="s">
        <v>157</v>
      </c>
      <c r="C29" s="2" t="n">
        <v>2013</v>
      </c>
      <c r="D29" s="2" t="n">
        <v>3.4</v>
      </c>
      <c r="E29" s="7" t="n">
        <v>6</v>
      </c>
      <c r="F29" s="7" t="n">
        <v>167</v>
      </c>
      <c r="G29" s="8" t="n">
        <f aca="false">IF(F29&gt;0,E29/F29,"")</f>
        <v>0.0359281437125749</v>
      </c>
      <c r="H29" s="8" t="n">
        <f aca="false">IF(F29&gt;0,MAX(0,((E29/F29)+1.959964^2/(2*F29))/(1+1.959964^2/F29)-(1.959964*SQRT((E29/F29)*(1-E29/F29)/F29+1.959964^2/(4*F29^2)))/(1+1.959964^2/F29)),"")</f>
        <v>0.0165683258138185</v>
      </c>
      <c r="I29" s="8" t="n">
        <f aca="false">IF(F29&gt;0,MIN(1,((E29/F29)+1.959964^2/(2*F29))/(1+1.959964^2/F29)+(1.959964*SQRT((E29/F29)*(1-E29/F29)/F29+1.959964^2/(4*F29^2)))/(1+1.959964^2/F29)),"")</f>
        <v>0.0761577547583625</v>
      </c>
    </row>
    <row r="30" customFormat="false" ht="15" hidden="false" customHeight="false" outlineLevel="0" collapsed="false">
      <c r="A30" s="2" t="s">
        <v>135</v>
      </c>
      <c r="B30" s="2" t="s">
        <v>157</v>
      </c>
      <c r="C30" s="2" t="n">
        <v>2017</v>
      </c>
      <c r="D30" s="2" t="n">
        <v>45.8</v>
      </c>
      <c r="E30" s="7" t="n">
        <v>22</v>
      </c>
      <c r="F30" s="7" t="n">
        <v>48</v>
      </c>
      <c r="G30" s="8" t="n">
        <f aca="false">IF(F30&gt;0,E30/F30,"")</f>
        <v>0.458333333333333</v>
      </c>
      <c r="H30" s="8" t="n">
        <f aca="false">IF(F30&gt;0,MAX(0,((E30/F30)+1.959964^2/(2*F30))/(1+1.959964^2/F30)-(1.959964*SQRT((E30/F30)*(1-E30/F30)/F30+1.959964^2/(4*F30^2)))/(1+1.959964^2/F30)),"")</f>
        <v>0.325752421982422</v>
      </c>
      <c r="I30" s="8" t="n">
        <f aca="false">IF(F30&gt;0,MIN(1,((E30/F30)+1.959964^2/(2*F30))/(1+1.959964^2/F30)+(1.959964*SQRT((E30/F30)*(1-E30/F30)/F30+1.959964^2/(4*F30^2)))/(1+1.959964^2/F30)),"")</f>
        <v>0.597089255579952</v>
      </c>
    </row>
    <row r="31" customFormat="false" ht="15" hidden="false" customHeight="false" outlineLevel="0" collapsed="false">
      <c r="A31" s="2" t="s">
        <v>135</v>
      </c>
      <c r="B31" s="2" t="s">
        <v>158</v>
      </c>
      <c r="C31" s="2" t="n">
        <v>2012</v>
      </c>
      <c r="D31" s="2" t="n">
        <v>3.2</v>
      </c>
      <c r="E31" s="7" t="n">
        <v>3</v>
      </c>
      <c r="F31" s="7" t="n">
        <v>93</v>
      </c>
      <c r="G31" s="8" t="n">
        <f aca="false">IF(F31&gt;0,E31/F31,"")</f>
        <v>0.032258064516129</v>
      </c>
      <c r="H31" s="8" t="n">
        <f aca="false">IF(F31&gt;0,MAX(0,((E31/F31)+1.959964^2/(2*F31))/(1+1.959964^2/F31)-(1.959964*SQRT((E31/F31)*(1-E31/F31)/F31+1.959964^2/(4*F31^2)))/(1+1.959964^2/F31)),"")</f>
        <v>0.0110306127300905</v>
      </c>
      <c r="I31" s="8" t="n">
        <f aca="false">IF(F31&gt;0,MIN(1,((E31/F31)+1.959964^2/(2*F31))/(1+1.959964^2/F31)+(1.959964*SQRT((E31/F31)*(1-E31/F31)/F31+1.959964^2/(4*F31^2)))/(1+1.959964^2/F31)),"")</f>
        <v>0.0905938257592059</v>
      </c>
    </row>
    <row r="32" customFormat="false" ht="15" hidden="false" customHeight="false" outlineLevel="0" collapsed="false">
      <c r="A32" s="2" t="s">
        <v>135</v>
      </c>
      <c r="B32" s="2" t="s">
        <v>158</v>
      </c>
      <c r="C32" s="2" t="n">
        <v>2013</v>
      </c>
      <c r="D32" s="2" t="n">
        <v>0</v>
      </c>
      <c r="E32" s="7" t="n">
        <v>0</v>
      </c>
      <c r="F32" s="7" t="n">
        <v>147</v>
      </c>
      <c r="G32" s="8" t="n">
        <f aca="false">IF(F32&gt;0,E32/F32,"")</f>
        <v>0</v>
      </c>
      <c r="H32" s="8" t="n">
        <f aca="false">IF(F32&gt;0,MAX(0,((E32/F32)+1.959964^2/(2*F32))/(1+1.959964^2/F32)-(1.959964*SQRT((E32/F32)*(1-E32/F32)/F32+1.959964^2/(4*F32^2)))/(1+1.959964^2/F32)),"")</f>
        <v>0</v>
      </c>
      <c r="I32" s="8" t="n">
        <f aca="false">IF(F32&gt;0,MIN(1,((E32/F32)+1.959964^2/(2*F32))/(1+1.959964^2/F32)+(1.959964*SQRT((E32/F32)*(1-E32/F32)/F32+1.959964^2/(4*F32^2)))/(1+1.959964^2/F32)),"")</f>
        <v>0.0254668637507611</v>
      </c>
    </row>
    <row r="33" customFormat="false" ht="15" hidden="false" customHeight="false" outlineLevel="0" collapsed="false">
      <c r="A33" s="2" t="s">
        <v>135</v>
      </c>
      <c r="B33" s="2" t="s">
        <v>158</v>
      </c>
      <c r="C33" s="2" t="n">
        <v>2014</v>
      </c>
      <c r="D33" s="2" t="n">
        <v>10.6</v>
      </c>
      <c r="E33" s="7" t="n">
        <v>11</v>
      </c>
      <c r="F33" s="7" t="n">
        <v>104</v>
      </c>
      <c r="G33" s="8" t="n">
        <f aca="false">IF(F33&gt;0,E33/F33,"")</f>
        <v>0.105769230769231</v>
      </c>
      <c r="H33" s="8" t="n">
        <f aca="false">IF(F33&gt;0,MAX(0,((E33/F33)+1.959964^2/(2*F33))/(1+1.959964^2/F33)-(1.959964*SQRT((E33/F33)*(1-E33/F33)/F33+1.959964^2/(4*F33^2)))/(1+1.959964^2/F33)),"")</f>
        <v>0.0600933451202205</v>
      </c>
      <c r="I33" s="8" t="n">
        <f aca="false">IF(F33&gt;0,MIN(1,((E33/F33)+1.959964^2/(2*F33))/(1+1.959964^2/F33)+(1.959964*SQRT((E33/F33)*(1-E33/F33)/F33+1.959964^2/(4*F33^2)))/(1+1.959964^2/F33)),"")</f>
        <v>0.179531184716124</v>
      </c>
    </row>
    <row r="34" customFormat="false" ht="15" hidden="false" customHeight="false" outlineLevel="0" collapsed="false">
      <c r="A34" s="2" t="s">
        <v>135</v>
      </c>
      <c r="B34" s="2" t="s">
        <v>159</v>
      </c>
      <c r="C34" s="2" t="n">
        <v>2015</v>
      </c>
      <c r="D34" s="2" t="n">
        <v>8.3</v>
      </c>
      <c r="E34" s="7" t="n">
        <v>4</v>
      </c>
      <c r="F34" s="7" t="n">
        <v>48</v>
      </c>
      <c r="G34" s="8" t="n">
        <f aca="false">IF(F34&gt;0,E34/F34,"")</f>
        <v>0.0833333333333333</v>
      </c>
      <c r="H34" s="8" t="n">
        <f aca="false">IF(F34&gt;0,MAX(0,((E34/F34)+1.959964^2/(2*F34))/(1+1.959964^2/F34)-(1.959964*SQRT((E34/F34)*(1-E34/F34)/F34+1.959964^2/(4*F34^2)))/(1+1.959964^2/F34)),"")</f>
        <v>0.032883756589523</v>
      </c>
      <c r="I34" s="8" t="n">
        <f aca="false">IF(F34&gt;0,MIN(1,((E34/F34)+1.959964^2/(2*F34))/(1+1.959964^2/F34)+(1.959964*SQRT((E34/F34)*(1-E34/F34)/F34+1.959964^2/(4*F34^2)))/(1+1.959964^2/F34)),"")</f>
        <v>0.195533019034211</v>
      </c>
    </row>
    <row r="35" customFormat="false" ht="15" hidden="false" customHeight="false" outlineLevel="0" collapsed="false">
      <c r="A35" s="2" t="s">
        <v>135</v>
      </c>
      <c r="B35" s="2" t="s">
        <v>159</v>
      </c>
      <c r="C35" s="2" t="n">
        <v>2017</v>
      </c>
      <c r="D35" s="2" t="n">
        <v>39.6</v>
      </c>
      <c r="E35" s="7" t="n">
        <v>19</v>
      </c>
      <c r="F35" s="7" t="n">
        <v>48</v>
      </c>
      <c r="G35" s="8" t="n">
        <f aca="false">IF(F35&gt;0,E35/F35,"")</f>
        <v>0.395833333333333</v>
      </c>
      <c r="H35" s="8" t="n">
        <f aca="false">IF(F35&gt;0,MAX(0,((E35/F35)+1.959964^2/(2*F35))/(1+1.959964^2/F35)-(1.959964*SQRT((E35/F35)*(1-E35/F35)/F35+1.959964^2/(4*F35^2)))/(1+1.959964^2/F35)),"")</f>
        <v>0.270208277741536</v>
      </c>
      <c r="I35" s="8" t="n">
        <f aca="false">IF(F35&gt;0,MIN(1,((E35/F35)+1.959964^2/(2*F35))/(1+1.959964^2/F35)+(1.959964*SQRT((E35/F35)*(1-E35/F35)/F35+1.959964^2/(4*F35^2)))/(1+1.959964^2/F35)),"")</f>
        <v>0.536895916164398</v>
      </c>
    </row>
    <row r="36" customFormat="false" ht="15" hidden="false" customHeight="false" outlineLevel="0" collapsed="false">
      <c r="A36" s="2" t="s">
        <v>135</v>
      </c>
      <c r="B36" s="2" t="s">
        <v>160</v>
      </c>
      <c r="C36" s="2" t="n">
        <v>2016</v>
      </c>
      <c r="D36" s="2" t="n">
        <v>17</v>
      </c>
      <c r="E36" s="7" t="n">
        <v>8</v>
      </c>
      <c r="F36" s="7" t="n">
        <v>47</v>
      </c>
      <c r="G36" s="8" t="n">
        <f aca="false">IF(F36&gt;0,E36/F36,"")</f>
        <v>0.170212765957447</v>
      </c>
      <c r="H36" s="8" t="n">
        <f aca="false">IF(F36&gt;0,MAX(0,((E36/F36)+1.959964^2/(2*F36))/(1+1.959964^2/F36)-(1.959964*SQRT((E36/F36)*(1-E36/F36)/F36+1.959964^2/(4*F36^2)))/(1+1.959964^2/F36)),"")</f>
        <v>0.0888636383108075</v>
      </c>
      <c r="I36" s="8" t="n">
        <f aca="false">IF(F36&gt;0,MIN(1,((E36/F36)+1.959964^2/(2*F36))/(1+1.959964^2/F36)+(1.959964*SQRT((E36/F36)*(1-E36/F36)/F36+1.959964^2/(4*F36^2)))/(1+1.959964^2/F36)),"")</f>
        <v>0.301397760907134</v>
      </c>
    </row>
    <row r="37" customFormat="false" ht="15" hidden="false" customHeight="false" outlineLevel="0" collapsed="false">
      <c r="A37" s="2" t="s">
        <v>135</v>
      </c>
      <c r="B37" s="2" t="s">
        <v>160</v>
      </c>
      <c r="C37" s="2" t="n">
        <v>2018</v>
      </c>
      <c r="D37" s="2" t="n">
        <v>33.9</v>
      </c>
      <c r="E37" s="7" t="n">
        <v>37</v>
      </c>
      <c r="F37" s="7" t="n">
        <v>109</v>
      </c>
      <c r="G37" s="8" t="n">
        <f aca="false">IF(F37&gt;0,E37/F37,"")</f>
        <v>0.339449541284404</v>
      </c>
      <c r="H37" s="8" t="n">
        <f aca="false">IF(F37&gt;0,MAX(0,((E37/F37)+1.959964^2/(2*F37))/(1+1.959964^2/F37)-(1.959964*SQRT((E37/F37)*(1-E37/F37)/F37+1.959964^2/(4*F37^2)))/(1+1.959964^2/F37)),"")</f>
        <v>0.257375968056672</v>
      </c>
      <c r="I37" s="8" t="n">
        <f aca="false">IF(F37&gt;0,MIN(1,((E37/F37)+1.959964^2/(2*F37))/(1+1.959964^2/F37)+(1.959964*SQRT((E37/F37)*(1-E37/F37)/F37+1.959964^2/(4*F37^2)))/(1+1.959964^2/F37)),"")</f>
        <v>0.43245434478235</v>
      </c>
    </row>
    <row r="38" customFormat="false" ht="15" hidden="false" customHeight="false" outlineLevel="0" collapsed="false">
      <c r="A38" s="2" t="s">
        <v>136</v>
      </c>
      <c r="B38" s="2" t="s">
        <v>161</v>
      </c>
      <c r="C38" s="2" t="n">
        <v>2013</v>
      </c>
      <c r="D38" s="2" t="n">
        <v>6.3</v>
      </c>
      <c r="E38" s="7" t="n">
        <v>7</v>
      </c>
      <c r="F38" s="7" t="n">
        <v>111</v>
      </c>
      <c r="G38" s="8" t="n">
        <f aca="false">IF(F38&gt;0,E38/F38,"")</f>
        <v>0.0630630630630631</v>
      </c>
      <c r="H38" s="8" t="n">
        <f aca="false">IF(F38&gt;0,MAX(0,((E38/F38)+1.959964^2/(2*F38))/(1+1.959964^2/F38)-(1.959964*SQRT((E38/F38)*(1-E38/F38)/F38+1.959964^2/(4*F38^2)))/(1+1.959964^2/F38)),"")</f>
        <v>0.0308806574177016</v>
      </c>
      <c r="I38" s="8" t="n">
        <f aca="false">IF(F38&gt;0,MIN(1,((E38/F38)+1.959964^2/(2*F38))/(1+1.959964^2/F38)+(1.959964*SQRT((E38/F38)*(1-E38/F38)/F38+1.959964^2/(4*F38^2)))/(1+1.959964^2/F38)),"")</f>
        <v>0.124476641724044</v>
      </c>
    </row>
    <row r="39" customFormat="false" ht="15" hidden="false" customHeight="false" outlineLevel="0" collapsed="false">
      <c r="A39" s="2" t="s">
        <v>136</v>
      </c>
      <c r="B39" s="2" t="s">
        <v>161</v>
      </c>
      <c r="C39" s="2" t="n">
        <v>2015</v>
      </c>
      <c r="D39" s="2" t="n">
        <v>8.4</v>
      </c>
      <c r="E39" s="7" t="n">
        <v>8</v>
      </c>
      <c r="F39" s="7" t="n">
        <v>95</v>
      </c>
      <c r="G39" s="8" t="n">
        <f aca="false">IF(F39&gt;0,E39/F39,"")</f>
        <v>0.0842105263157895</v>
      </c>
      <c r="H39" s="8" t="n">
        <f aca="false">IF(F39&gt;0,MAX(0,((E39/F39)+1.959964^2/(2*F39))/(1+1.959964^2/F39)-(1.959964*SQRT((E39/F39)*(1-E39/F39)/F39+1.959964^2/(4*F39^2)))/(1+1.959964^2/F39)),"")</f>
        <v>0.0432881151618777</v>
      </c>
      <c r="I39" s="8" t="n">
        <f aca="false">IF(F39&gt;0,MIN(1,((E39/F39)+1.959964^2/(2*F39))/(1+1.959964^2/F39)+(1.959964*SQRT((E39/F39)*(1-E39/F39)/F39+1.959964^2/(4*F39^2)))/(1+1.959964^2/F39)),"")</f>
        <v>0.157452131955728</v>
      </c>
    </row>
    <row r="40" customFormat="false" ht="15" hidden="false" customHeight="false" outlineLevel="0" collapsed="false">
      <c r="A40" s="2" t="s">
        <v>136</v>
      </c>
      <c r="B40" s="2" t="s">
        <v>161</v>
      </c>
      <c r="C40" s="2" t="n">
        <v>2016</v>
      </c>
      <c r="D40" s="2" t="n">
        <v>27.3</v>
      </c>
      <c r="E40" s="7" t="n">
        <v>21</v>
      </c>
      <c r="F40" s="7" t="n">
        <v>77</v>
      </c>
      <c r="G40" s="8" t="n">
        <f aca="false">IF(F40&gt;0,E40/F40,"")</f>
        <v>0.272727272727273</v>
      </c>
      <c r="H40" s="8" t="n">
        <f aca="false">IF(F40&gt;0,MAX(0,((E40/F40)+1.959964^2/(2*F40))/(1+1.959964^2/F40)-(1.959964*SQRT((E40/F40)*(1-E40/F40)/F40+1.959964^2/(4*F40^2)))/(1+1.959964^2/F40)),"")</f>
        <v>0.185844907343715</v>
      </c>
      <c r="I40" s="8" t="n">
        <f aca="false">IF(F40&gt;0,MIN(1,((E40/F40)+1.959964^2/(2*F40))/(1+1.959964^2/F40)+(1.959964*SQRT((E40/F40)*(1-E40/F40)/F40+1.959964^2/(4*F40^2)))/(1+1.959964^2/F40)),"")</f>
        <v>0.381208922654672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9" min="7" style="0" width="12"/>
  </cols>
  <sheetData>
    <row r="1" customFormat="false" ht="15" hidden="false" customHeight="false" outlineLevel="0" collapsed="false">
      <c r="A1" s="4" t="s">
        <v>162</v>
      </c>
    </row>
    <row r="2" customFormat="false" ht="15" hidden="false" customHeight="false" outlineLevel="0" collapsed="false">
      <c r="A2" s="5" t="s">
        <v>163</v>
      </c>
    </row>
    <row r="3" customFormat="false" ht="15" hidden="false" customHeight="false" outlineLevel="0" collapsed="false">
      <c r="A3" s="5" t="s">
        <v>164</v>
      </c>
    </row>
    <row r="4" customFormat="false" ht="15" hidden="false" customHeight="false" outlineLevel="0" collapsed="false">
      <c r="A4" s="6" t="s">
        <v>165</v>
      </c>
      <c r="B4" s="6" t="s">
        <v>166</v>
      </c>
      <c r="C4" s="6" t="s">
        <v>167</v>
      </c>
      <c r="D4" s="6" t="s">
        <v>168</v>
      </c>
      <c r="E4" s="6" t="s">
        <v>169</v>
      </c>
      <c r="F4" s="6" t="s">
        <v>34</v>
      </c>
      <c r="G4" s="6" t="s">
        <v>36</v>
      </c>
      <c r="H4" s="6" t="s">
        <v>37</v>
      </c>
      <c r="I4" s="6" t="s">
        <v>38</v>
      </c>
    </row>
    <row r="5" customFormat="false" ht="15" hidden="false" customHeight="false" outlineLevel="0" collapsed="false">
      <c r="A5" s="2" t="s">
        <v>170</v>
      </c>
      <c r="B5" s="2" t="n">
        <v>0</v>
      </c>
      <c r="C5" s="2" t="n">
        <v>19</v>
      </c>
      <c r="D5" s="2" t="n">
        <v>33</v>
      </c>
      <c r="E5" s="7" t="n">
        <v>19</v>
      </c>
      <c r="F5" s="7" t="n">
        <v>52</v>
      </c>
      <c r="G5" s="8" t="n">
        <f aca="false">IF(F5&gt;0,E5/F5,"")</f>
        <v>0.365384615384615</v>
      </c>
      <c r="H5" s="8" t="n">
        <f aca="false">IF(F5&gt;0,MAX(0,((E5/F5)+1.959964^2/(2*F5))/(1+1.959964^2/F5)-(1.959964*SQRT((E5/F5)*(1-E5/F5)/F5+1.959964^2/(4*F5^2)))/(1+1.959964^2/F5)),"")</f>
        <v>0.248006997939013</v>
      </c>
      <c r="I5" s="8" t="n">
        <f aca="false">IF(F5&gt;0,MIN(1,((E5/F5)+1.959964^2/(2*F5))/(1+1.959964^2/F5)+(1.959964*SQRT((E5/F5)*(1-E5/F5)/F5+1.959964^2/(4*F5^2)))/(1+1.959964^2/F5)),"")</f>
        <v>0.501283219751033</v>
      </c>
    </row>
    <row r="6" customFormat="false" ht="15" hidden="false" customHeight="false" outlineLevel="0" collapsed="false">
      <c r="A6" s="2" t="s">
        <v>171</v>
      </c>
      <c r="B6" s="2" t="n">
        <v>44</v>
      </c>
      <c r="C6" s="2" t="n">
        <v>0</v>
      </c>
      <c r="D6" s="2" t="n">
        <v>8</v>
      </c>
      <c r="E6" s="7" t="n">
        <v>44</v>
      </c>
      <c r="F6" s="7" t="n">
        <v>52</v>
      </c>
      <c r="G6" s="8" t="n">
        <f aca="false">IF(F6&gt;0,E6/F6,"")</f>
        <v>0.846153846153846</v>
      </c>
      <c r="H6" s="8" t="n">
        <f aca="false">IF(F6&gt;0,MAX(0,((E6/F6)+1.959964^2/(2*F6))/(1+1.959964^2/F6)-(1.959964*SQRT((E6/F6)*(1-E6/F6)/F6+1.959964^2/(4*F6^2)))/(1+1.959964^2/F6)),"")</f>
        <v>0.724759147126631</v>
      </c>
      <c r="I6" s="8" t="n">
        <f aca="false">IF(F6&gt;0,MIN(1,((E6/F6)+1.959964^2/(2*F6))/(1+1.959964^2/F6)+(1.959964*SQRT((E6/F6)*(1-E6/F6)/F6+1.959964^2/(4*F6^2)))/(1+1.959964^2/F6)),"")</f>
        <v>0.919923150241823</v>
      </c>
    </row>
    <row r="7" customFormat="false" ht="15" hidden="false" customHeight="false" outlineLevel="0" collapsed="false">
      <c r="A7" s="2" t="s">
        <v>172</v>
      </c>
      <c r="B7" s="2" t="n">
        <v>49</v>
      </c>
      <c r="C7" s="2" t="n">
        <v>0</v>
      </c>
      <c r="D7" s="2" t="n">
        <v>3</v>
      </c>
      <c r="E7" s="7" t="n">
        <v>49</v>
      </c>
      <c r="F7" s="7" t="n">
        <v>52</v>
      </c>
      <c r="G7" s="8" t="n">
        <f aca="false">IF(F7&gt;0,E7/F7,"")</f>
        <v>0.942307692307692</v>
      </c>
      <c r="H7" s="8" t="n">
        <f aca="false">IF(F7&gt;0,MAX(0,((E7/F7)+1.959964^2/(2*F7))/(1+1.959964^2/F7)-(1.959964*SQRT((E7/F7)*(1-E7/F7)/F7+1.959964^2/(4*F7^2)))/(1+1.959964^2/F7)),"")</f>
        <v>0.84357488526212</v>
      </c>
      <c r="I7" s="8" t="n">
        <f aca="false">IF(F7&gt;0,MIN(1,((E7/F7)+1.959964^2/(2*F7))/(1+1.959964^2/F7)+(1.959964*SQRT((E7/F7)*(1-E7/F7)/F7+1.959964^2/(4*F7^2)))/(1+1.959964^2/F7)),"")</f>
        <v>0.980185828042016</v>
      </c>
    </row>
    <row r="8" customFormat="false" ht="15" hidden="false" customHeight="false" outlineLevel="0" collapsed="false">
      <c r="A8" s="2" t="s">
        <v>173</v>
      </c>
      <c r="B8" s="2" t="n">
        <v>25</v>
      </c>
      <c r="C8" s="2" t="n">
        <v>0</v>
      </c>
      <c r="D8" s="2" t="n">
        <v>27</v>
      </c>
      <c r="E8" s="7" t="n">
        <v>25</v>
      </c>
      <c r="F8" s="7" t="n">
        <v>52</v>
      </c>
      <c r="G8" s="8" t="n">
        <f aca="false">IF(F8&gt;0,E8/F8,"")</f>
        <v>0.480769230769231</v>
      </c>
      <c r="H8" s="8" t="n">
        <f aca="false">IF(F8&gt;0,MAX(0,((E8/F8)+1.959964^2/(2*F8))/(1+1.959964^2/F8)-(1.959964*SQRT((E8/F8)*(1-E8/F8)/F8+1.959964^2/(4*F8^2)))/(1+1.959964^2/F8)),"")</f>
        <v>0.351041143511289</v>
      </c>
      <c r="I8" s="8" t="n">
        <f aca="false">IF(F8&gt;0,MIN(1,((E8/F8)+1.959964^2/(2*F8))/(1+1.959964^2/F8)+(1.959964*SQRT((E8/F8)*(1-E8/F8)/F8+1.959964^2/(4*F8^2)))/(1+1.959964^2/F8)),"")</f>
        <v>0.613143173301574</v>
      </c>
    </row>
    <row r="9" customFormat="false" ht="15" hidden="false" customHeight="false" outlineLevel="0" collapsed="false">
      <c r="A9" s="2" t="s">
        <v>174</v>
      </c>
      <c r="B9" s="2" t="n">
        <v>36</v>
      </c>
      <c r="C9" s="2" t="n">
        <v>0</v>
      </c>
      <c r="D9" s="2" t="n">
        <v>16</v>
      </c>
      <c r="E9" s="7" t="n">
        <v>36</v>
      </c>
      <c r="F9" s="7" t="n">
        <v>52</v>
      </c>
      <c r="G9" s="8" t="n">
        <f aca="false">IF(F9&gt;0,E9/F9,"")</f>
        <v>0.692307692307692</v>
      </c>
      <c r="H9" s="8" t="n">
        <f aca="false">IF(F9&gt;0,MAX(0,((E9/F9)+1.959964^2/(2*F9))/(1+1.959964^2/F9)-(1.959964*SQRT((E9/F9)*(1-E9/F9)/F9+1.959964^2/(4*F9^2)))/(1+1.959964^2/F9)),"")</f>
        <v>0.55730411065358</v>
      </c>
      <c r="I9" s="8" t="n">
        <f aca="false">IF(F9&gt;0,MIN(1,((E9/F9)+1.959964^2/(2*F9))/(1+1.959964^2/F9)+(1.959964*SQRT((E9/F9)*(1-E9/F9)/F9+1.959964^2/(4*F9^2)))/(1+1.959964^2/F9)),"")</f>
        <v>0.800852721217784</v>
      </c>
    </row>
    <row r="10" customFormat="false" ht="15" hidden="false" customHeight="false" outlineLevel="0" collapsed="false">
      <c r="A10" s="2" t="s">
        <v>175</v>
      </c>
      <c r="B10" s="2" t="n">
        <v>12</v>
      </c>
      <c r="C10" s="2" t="n">
        <v>27</v>
      </c>
      <c r="D10" s="2" t="n">
        <v>13</v>
      </c>
      <c r="E10" s="7" t="n">
        <v>39</v>
      </c>
      <c r="F10" s="7" t="n">
        <v>52</v>
      </c>
      <c r="G10" s="8" t="n">
        <f aca="false">IF(F10&gt;0,E10/F10,"")</f>
        <v>0.75</v>
      </c>
      <c r="H10" s="8" t="n">
        <f aca="false">IF(F10&gt;0,MAX(0,((E10/F10)+1.959964^2/(2*F10))/(1+1.959964^2/F10)-(1.959964*SQRT((E10/F10)*(1-E10/F10)/F10+1.959964^2/(4*F10^2)))/(1+1.959964^2/F10)),"")</f>
        <v>0.617935419458742</v>
      </c>
      <c r="I10" s="8" t="n">
        <f aca="false">IF(F10&gt;0,MIN(1,((E10/F10)+1.959964^2/(2*F10))/(1+1.959964^2/F10)+(1.959964*SQRT((E10/F10)*(1-E10/F10)/F10+1.959964^2/(4*F10^2)))/(1+1.959964^2/F10)),"")</f>
        <v>0.847668461974031</v>
      </c>
    </row>
    <row r="11" customFormat="false" ht="15" hidden="false" customHeight="false" outlineLevel="0" collapsed="false">
      <c r="A11" s="2" t="s">
        <v>176</v>
      </c>
      <c r="B11" s="2" t="n">
        <v>19</v>
      </c>
      <c r="C11" s="2" t="n">
        <v>5</v>
      </c>
      <c r="D11" s="2" t="n">
        <v>22</v>
      </c>
      <c r="E11" s="7" t="n">
        <v>24</v>
      </c>
      <c r="F11" s="7" t="n">
        <v>46</v>
      </c>
      <c r="G11" s="8" t="n">
        <f aca="false">IF(F11&gt;0,E11/F11,"")</f>
        <v>0.521739130434783</v>
      </c>
      <c r="H11" s="8" t="n">
        <f aca="false">IF(F11&gt;0,MAX(0,((E11/F11)+1.959964^2/(2*F11))/(1+1.959964^2/F11)-(1.959964*SQRT((E11/F11)*(1-E11/F11)/F11+1.959964^2/(4*F11^2)))/(1+1.959964^2/F11)),"")</f>
        <v>0.381374129693849</v>
      </c>
      <c r="I11" s="8" t="n">
        <f aca="false">IF(F11&gt;0,MIN(1,((E11/F11)+1.959964^2/(2*F11))/(1+1.959964^2/F11)+(1.959964*SQRT((E11/F11)*(1-E11/F11)/F11+1.959964^2/(4*F11^2)))/(1+1.959964^2/F11)),"")</f>
        <v>0.658753106644945</v>
      </c>
    </row>
    <row r="12" customFormat="false" ht="15" hidden="false" customHeight="false" outlineLevel="0" collapsed="false">
      <c r="A12" s="2" t="s">
        <v>177</v>
      </c>
      <c r="B12" s="2" t="n">
        <v>34</v>
      </c>
      <c r="C12" s="2" t="n">
        <v>0</v>
      </c>
      <c r="D12" s="2" t="n">
        <v>15</v>
      </c>
      <c r="E12" s="7" t="n">
        <v>34</v>
      </c>
      <c r="F12" s="7" t="n">
        <v>49</v>
      </c>
      <c r="G12" s="8" t="n">
        <f aca="false">IF(F12&gt;0,E12/F12,"")</f>
        <v>0.693877551020408</v>
      </c>
      <c r="H12" s="8" t="n">
        <f aca="false">IF(F12&gt;0,MAX(0,((E12/F12)+1.959964^2/(2*F12))/(1+1.959964^2/F12)-(1.959964*SQRT((E12/F12)*(1-E12/F12)/F12+1.959964^2/(4*F12^2)))/(1+1.959964^2/F12)),"")</f>
        <v>0.55472106327833</v>
      </c>
      <c r="I12" s="8" t="n">
        <f aca="false">IF(F12&gt;0,MIN(1,((E12/F12)+1.959964^2/(2*F12))/(1+1.959964^2/F12)+(1.959964*SQRT((E12/F12)*(1-E12/F12)/F12+1.959964^2/(4*F12^2)))/(1+1.959964^2/F12)),"")</f>
        <v>0.804845088040125</v>
      </c>
    </row>
    <row r="13" customFormat="false" ht="15" hidden="false" customHeight="false" outlineLevel="0" collapsed="false">
      <c r="A13" s="2" t="s">
        <v>178</v>
      </c>
      <c r="B13" s="2" t="n">
        <v>25</v>
      </c>
      <c r="C13" s="2" t="n">
        <v>0</v>
      </c>
      <c r="D13" s="2" t="n">
        <v>24</v>
      </c>
      <c r="E13" s="7" t="n">
        <v>25</v>
      </c>
      <c r="F13" s="7" t="n">
        <v>49</v>
      </c>
      <c r="G13" s="8" t="n">
        <f aca="false">IF(F13&gt;0,E13/F13,"")</f>
        <v>0.510204081632653</v>
      </c>
      <c r="H13" s="8" t="n">
        <f aca="false">IF(F13&gt;0,MAX(0,((E13/F13)+1.959964^2/(2*F13))/(1+1.959964^2/F13)-(1.959964*SQRT((E13/F13)*(1-E13/F13)/F13+1.959964^2/(4*F13^2)))/(1+1.959964^2/F13)),"")</f>
        <v>0.37467563640791</v>
      </c>
      <c r="I13" s="8" t="n">
        <f aca="false">IF(F13&gt;0,MIN(1,((E13/F13)+1.959964^2/(2*F13))/(1+1.959964^2/F13)+(1.959964*SQRT((E13/F13)*(1-E13/F13)/F13+1.959964^2/(4*F13^2)))/(1+1.959964^2/F13)),"")</f>
        <v>0.644248897872009</v>
      </c>
    </row>
    <row r="14" customFormat="false" ht="15" hidden="false" customHeight="false" outlineLevel="0" collapsed="false">
      <c r="A14" s="2" t="s">
        <v>179</v>
      </c>
      <c r="B14" s="2" t="n">
        <v>7</v>
      </c>
      <c r="C14" s="2" t="n">
        <v>0</v>
      </c>
      <c r="D14" s="2" t="n">
        <v>2</v>
      </c>
      <c r="E14" s="7" t="n">
        <v>7</v>
      </c>
      <c r="F14" s="7" t="n">
        <v>9</v>
      </c>
      <c r="G14" s="8" t="n">
        <f aca="false">IF(F14&gt;0,E14/F14,"")</f>
        <v>0.777777777777778</v>
      </c>
      <c r="H14" s="8" t="n">
        <f aca="false">IF(F14&gt;0,MAX(0,((E14/F14)+1.959964^2/(2*F14))/(1+1.959964^2/F14)-(1.959964*SQRT((E14/F14)*(1-E14/F14)/F14+1.959964^2/(4*F14^2)))/(1+1.959964^2/F14)),"")</f>
        <v>0.452588966692212</v>
      </c>
      <c r="I14" s="8" t="n">
        <f aca="false">IF(F14&gt;0,MIN(1,((E14/F14)+1.959964^2/(2*F14))/(1+1.959964^2/F14)+(1.959964*SQRT((E14/F14)*(1-E14/F14)/F14+1.959964^2/(4*F14^2)))/(1+1.959964^2/F14)),"")</f>
        <v>0.93677489345943</v>
      </c>
    </row>
    <row r="15" customFormat="false" ht="15" hidden="false" customHeight="false" outlineLevel="0" collapsed="false">
      <c r="A15" s="2" t="s">
        <v>180</v>
      </c>
      <c r="B15" s="2" t="n">
        <v>0</v>
      </c>
      <c r="C15" s="2" t="n">
        <v>7</v>
      </c>
      <c r="D15" s="2" t="n">
        <v>2</v>
      </c>
      <c r="E15" s="7" t="n">
        <v>7</v>
      </c>
      <c r="F15" s="7" t="n">
        <v>9</v>
      </c>
      <c r="G15" s="8" t="n">
        <f aca="false">IF(F15&gt;0,E15/F15,"")</f>
        <v>0.777777777777778</v>
      </c>
      <c r="H15" s="8" t="n">
        <f aca="false">IF(F15&gt;0,MAX(0,((E15/F15)+1.959964^2/(2*F15))/(1+1.959964^2/F15)-(1.959964*SQRT((E15/F15)*(1-E15/F15)/F15+1.959964^2/(4*F15^2)))/(1+1.959964^2/F15)),"")</f>
        <v>0.452588966692212</v>
      </c>
      <c r="I15" s="8" t="n">
        <f aca="false">IF(F15&gt;0,MIN(1,((E15/F15)+1.959964^2/(2*F15))/(1+1.959964^2/F15)+(1.959964*SQRT((E15/F15)*(1-E15/F15)/F15+1.959964^2/(4*F15^2)))/(1+1.959964^2/F15)),"")</f>
        <v>0.93677489345943</v>
      </c>
    </row>
    <row r="16" customFormat="false" ht="15" hidden="false" customHeight="false" outlineLevel="0" collapsed="false">
      <c r="A16" s="2" t="s">
        <v>181</v>
      </c>
      <c r="B16" s="2" t="n">
        <v>0</v>
      </c>
      <c r="C16" s="2" t="n">
        <v>7</v>
      </c>
      <c r="D16" s="2" t="n">
        <v>2</v>
      </c>
      <c r="E16" s="7" t="n">
        <v>7</v>
      </c>
      <c r="F16" s="7" t="n">
        <v>9</v>
      </c>
      <c r="G16" s="8" t="n">
        <f aca="false">IF(F16&gt;0,E16/F16,"")</f>
        <v>0.777777777777778</v>
      </c>
      <c r="H16" s="8" t="n">
        <f aca="false">IF(F16&gt;0,MAX(0,((E16/F16)+1.959964^2/(2*F16))/(1+1.959964^2/F16)-(1.959964*SQRT((E16/F16)*(1-E16/F16)/F16+1.959964^2/(4*F16^2)))/(1+1.959964^2/F16)),"")</f>
        <v>0.452588966692212</v>
      </c>
      <c r="I16" s="8" t="n">
        <f aca="false">IF(F16&gt;0,MIN(1,((E16/F16)+1.959964^2/(2*F16))/(1+1.959964^2/F16)+(1.959964*SQRT((E16/F16)*(1-E16/F16)/F16+1.959964^2/(4*F16^2)))/(1+1.959964^2/F16)),"")</f>
        <v>0.93677489345943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7" min="5" style="0" width="12"/>
  </cols>
  <sheetData>
    <row r="1" customFormat="false" ht="15" hidden="false" customHeight="false" outlineLevel="0" collapsed="false">
      <c r="A1" s="4" t="s">
        <v>182</v>
      </c>
    </row>
    <row r="2" customFormat="false" ht="15" hidden="false" customHeight="false" outlineLevel="0" collapsed="false">
      <c r="A2" s="5" t="s">
        <v>183</v>
      </c>
    </row>
    <row r="4" customFormat="false" ht="15" hidden="false" customHeight="false" outlineLevel="0" collapsed="false">
      <c r="A4" s="6" t="s">
        <v>184</v>
      </c>
      <c r="B4" s="6" t="s">
        <v>185</v>
      </c>
      <c r="C4" s="6" t="s">
        <v>186</v>
      </c>
      <c r="D4" s="6" t="s">
        <v>34</v>
      </c>
      <c r="E4" s="6" t="s">
        <v>36</v>
      </c>
      <c r="F4" s="6" t="s">
        <v>37</v>
      </c>
      <c r="G4" s="6" t="s">
        <v>38</v>
      </c>
    </row>
    <row r="5" customFormat="false" ht="15" hidden="false" customHeight="false" outlineLevel="0" collapsed="false">
      <c r="A5" s="2" t="s">
        <v>187</v>
      </c>
      <c r="B5" s="2" t="s">
        <v>188</v>
      </c>
      <c r="C5" s="7" t="n">
        <v>5</v>
      </c>
      <c r="D5" s="7" t="n">
        <v>18</v>
      </c>
      <c r="E5" s="8" t="n">
        <f aca="false">IF(D5&gt;0,C5/D5,"")</f>
        <v>0.277777777777778</v>
      </c>
      <c r="F5" s="8" t="n">
        <f aca="false">IF(D5&gt;0,MAX(0,((C5/D5)+1.959964^2/(2*D5))/(1+1.959964^2/D5)-(1.959964*SQRT((C5/D5)*(1-C5/D5)/D5+1.959964^2/(4*D5^2)))/(1+1.959964^2/D5)),"")</f>
        <v>0.124997533004697</v>
      </c>
      <c r="G5" s="8" t="n">
        <f aca="false">IF(D5&gt;0,MIN(1,((C5/D5)+1.959964^2/(2*D5))/(1+1.959964^2/D5)+(1.959964*SQRT((C5/D5)*(1-C5/D5)/D5+1.959964^2/(4*D5^2)))/(1+1.959964^2/D5)),"")</f>
        <v>0.508726567410097</v>
      </c>
    </row>
    <row r="6" customFormat="false" ht="15" hidden="false" customHeight="false" outlineLevel="0" collapsed="false">
      <c r="A6" s="2" t="s">
        <v>187</v>
      </c>
      <c r="B6" s="2" t="s">
        <v>189</v>
      </c>
      <c r="C6" s="7" t="n">
        <v>9</v>
      </c>
      <c r="D6" s="7" t="n">
        <v>18</v>
      </c>
      <c r="E6" s="8" t="n">
        <f aca="false">IF(D6&gt;0,C6/D6,"")</f>
        <v>0.5</v>
      </c>
      <c r="F6" s="8" t="n">
        <f aca="false">IF(D6&gt;0,MAX(0,((C6/D6)+1.959964^2/(2*D6))/(1+1.959964^2/D6)-(1.959964*SQRT((C6/D6)*(1-C6/D6)/D6+1.959964^2/(4*D6^2)))/(1+1.959964^2/D6)),"")</f>
        <v>0.290310213688599</v>
      </c>
      <c r="G6" s="8" t="n">
        <f aca="false">IF(D6&gt;0,MIN(1,((C6/D6)+1.959964^2/(2*D6))/(1+1.959964^2/D6)+(1.959964*SQRT((C6/D6)*(1-C6/D6)/D6+1.959964^2/(4*D6^2)))/(1+1.959964^2/D6)),"")</f>
        <v>0.709689786311401</v>
      </c>
    </row>
    <row r="7" customFormat="false" ht="15" hidden="false" customHeight="false" outlineLevel="0" collapsed="false">
      <c r="A7" s="2" t="s">
        <v>190</v>
      </c>
      <c r="B7" s="2" t="s">
        <v>188</v>
      </c>
      <c r="C7" s="7" t="n">
        <v>3</v>
      </c>
      <c r="D7" s="7" t="n">
        <v>18</v>
      </c>
      <c r="E7" s="8" t="n">
        <f aca="false">IF(D7&gt;0,C7/D7,"")</f>
        <v>0.166666666666667</v>
      </c>
      <c r="F7" s="8" t="n">
        <f aca="false">IF(D7&gt;0,MAX(0,((C7/D7)+1.959964^2/(2*D7))/(1+1.959964^2/D7)-(1.959964*SQRT((C7/D7)*(1-C7/D7)/D7+1.959964^2/(4*D7^2)))/(1+1.959964^2/D7)),"")</f>
        <v>0.0583657676018551</v>
      </c>
      <c r="G7" s="8" t="n">
        <f aca="false">IF(D7&gt;0,MIN(1,((C7/D7)+1.959964^2/(2*D7))/(1+1.959964^2/D7)+(1.959964*SQRT((C7/D7)*(1-C7/D7)/D7+1.959964^2/(4*D7^2)))/(1+1.959964^2/D7)),"")</f>
        <v>0.392220383020334</v>
      </c>
    </row>
    <row r="8" customFormat="false" ht="15" hidden="false" customHeight="false" outlineLevel="0" collapsed="false">
      <c r="A8" s="2" t="s">
        <v>190</v>
      </c>
      <c r="B8" s="2" t="s">
        <v>191</v>
      </c>
      <c r="C8" s="7" t="n">
        <v>6</v>
      </c>
      <c r="D8" s="7" t="n">
        <v>18</v>
      </c>
      <c r="E8" s="8" t="n">
        <f aca="false">IF(D8&gt;0,C8/D8,"")</f>
        <v>0.333333333333333</v>
      </c>
      <c r="F8" s="8" t="n">
        <f aca="false">IF(D8&gt;0,MAX(0,((C8/D8)+1.959964^2/(2*D8))/(1+1.959964^2/D8)-(1.959964*SQRT((C8/D8)*(1-C8/D8)/D8+1.959964^2/(4*D8^2)))/(1+1.959964^2/D8)),"")</f>
        <v>0.162787746562299</v>
      </c>
      <c r="G8" s="8" t="n">
        <f aca="false">IF(D8&gt;0,MIN(1,((C8/D8)+1.959964^2/(2*D8))/(1+1.959964^2/D8)+(1.959964*SQRT((C8/D8)*(1-C8/D8)/D8+1.959964^2/(4*D8^2)))/(1+1.959964^2/D8)),"")</f>
        <v>0.562505328748796</v>
      </c>
    </row>
    <row r="9" customFormat="false" ht="15" hidden="false" customHeight="false" outlineLevel="0" collapsed="false">
      <c r="A9" s="2" t="s">
        <v>192</v>
      </c>
      <c r="B9" s="2" t="s">
        <v>188</v>
      </c>
      <c r="C9" s="7" t="n">
        <v>2</v>
      </c>
      <c r="D9" s="7" t="n">
        <v>18</v>
      </c>
      <c r="E9" s="8" t="n">
        <f aca="false">IF(D9&gt;0,C9/D9,"")</f>
        <v>0.111111111111111</v>
      </c>
      <c r="F9" s="8" t="n">
        <f aca="false">IF(D9&gt;0,MAX(0,((C9/D9)+1.959964^2/(2*D9))/(1+1.959964^2/D9)-(1.959964*SQRT((C9/D9)*(1-C9/D9)/D9+1.959964^2/(4*D9^2)))/(1+1.959964^2/D9)),"")</f>
        <v>0.031019522364791</v>
      </c>
      <c r="G9" s="8" t="n">
        <f aca="false">IF(D9&gt;0,MIN(1,((C9/D9)+1.959964^2/(2*D9))/(1+1.959964^2/D9)+(1.959964*SQRT((C9/D9)*(1-C9/D9)/D9+1.959964^2/(4*D9^2)))/(1+1.959964^2/D9)),"")</f>
        <v>0.327997653361097</v>
      </c>
    </row>
    <row r="10" customFormat="false" ht="15" hidden="false" customHeight="false" outlineLevel="0" collapsed="false">
      <c r="A10" s="2" t="s">
        <v>192</v>
      </c>
      <c r="B10" s="2" t="s">
        <v>191</v>
      </c>
      <c r="C10" s="7" t="n">
        <v>4</v>
      </c>
      <c r="D10" s="7" t="n">
        <v>18</v>
      </c>
      <c r="E10" s="8" t="n">
        <f aca="false">IF(D10&gt;0,C10/D10,"")</f>
        <v>0.222222222222222</v>
      </c>
      <c r="F10" s="8" t="n">
        <f aca="false">IF(D10&gt;0,MAX(0,((C10/D10)+1.959964^2/(2*D10))/(1+1.959964^2/D10)-(1.959964*SQRT((C10/D10)*(1-C10/D10)/D10+1.959964^2/(4*D10^2)))/(1+1.959964^2/D10)),"")</f>
        <v>0.0900092804584554</v>
      </c>
      <c r="G10" s="8" t="n">
        <f aca="false">IF(D10&gt;0,MIN(1,((C10/D10)+1.959964^2/(2*D10))/(1+1.959964^2/D10)+(1.959964*SQRT((C10/D10)*(1-C10/D10)/D10+1.959964^2/(4*D10^2)))/(1+1.959964^2/D10)),"")</f>
        <v>0.452145845060036</v>
      </c>
    </row>
    <row r="11" customFormat="false" ht="15" hidden="false" customHeight="false" outlineLevel="0" collapsed="false">
      <c r="A11" s="2" t="s">
        <v>193</v>
      </c>
      <c r="B11" s="2" t="s">
        <v>188</v>
      </c>
      <c r="C11" s="7" t="n">
        <v>2</v>
      </c>
      <c r="D11" s="7" t="n">
        <v>18</v>
      </c>
      <c r="E11" s="8" t="n">
        <f aca="false">IF(D11&gt;0,C11/D11,"")</f>
        <v>0.111111111111111</v>
      </c>
      <c r="F11" s="8" t="n">
        <f aca="false">IF(D11&gt;0,MAX(0,((C11/D11)+1.959964^2/(2*D11))/(1+1.959964^2/D11)-(1.959964*SQRT((C11/D11)*(1-C11/D11)/D11+1.959964^2/(4*D11^2)))/(1+1.959964^2/D11)),"")</f>
        <v>0.031019522364791</v>
      </c>
      <c r="G11" s="8" t="n">
        <f aca="false">IF(D11&gt;0,MIN(1,((C11/D11)+1.959964^2/(2*D11))/(1+1.959964^2/D11)+(1.959964*SQRT((C11/D11)*(1-C11/D11)/D11+1.959964^2/(4*D11^2)))/(1+1.959964^2/D11)),"")</f>
        <v>0.327997653361097</v>
      </c>
    </row>
    <row r="12" customFormat="false" ht="15" hidden="false" customHeight="false" outlineLevel="0" collapsed="false">
      <c r="A12" s="2" t="s">
        <v>194</v>
      </c>
      <c r="B12" s="2" t="s">
        <v>195</v>
      </c>
      <c r="C12" s="7" t="n">
        <v>15</v>
      </c>
      <c r="D12" s="7" t="n">
        <v>18</v>
      </c>
      <c r="E12" s="8" t="n">
        <f aca="false">IF(D12&gt;0,C12/D12,"")</f>
        <v>0.833333333333333</v>
      </c>
      <c r="F12" s="8" t="n">
        <f aca="false">IF(D12&gt;0,MAX(0,((C12/D12)+1.959964^2/(2*D12))/(1+1.959964^2/D12)-(1.959964*SQRT((C12/D12)*(1-C12/D12)/D12+1.959964^2/(4*D12^2)))/(1+1.959964^2/D12)),"")</f>
        <v>0.607779616979666</v>
      </c>
      <c r="G12" s="8" t="n">
        <f aca="false">IF(D12&gt;0,MIN(1,((C12/D12)+1.959964^2/(2*D12))/(1+1.959964^2/D12)+(1.959964*SQRT((C12/D12)*(1-C12/D12)/D12+1.959964^2/(4*D12^2)))/(1+1.959964^2/D12)),"")</f>
        <v>0.941634232398145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7"/>
    <col collapsed="false" customWidth="true" hidden="false" outlineLevel="0" max="5" min="3" style="0" width="10"/>
    <col collapsed="false" customWidth="true" hidden="false" outlineLevel="0" max="8" min="6" style="0" width="12"/>
  </cols>
  <sheetData>
    <row r="1" customFormat="false" ht="15" hidden="false" customHeight="false" outlineLevel="0" collapsed="false">
      <c r="A1" s="4" t="s">
        <v>196</v>
      </c>
    </row>
    <row r="2" customFormat="false" ht="15" hidden="false" customHeight="false" outlineLevel="0" collapsed="false">
      <c r="A2" s="5" t="s">
        <v>197</v>
      </c>
    </row>
    <row r="3" customFormat="false" ht="15" hidden="false" customHeight="false" outlineLevel="0" collapsed="false">
      <c r="A3" s="5" t="s">
        <v>198</v>
      </c>
    </row>
    <row r="4" customFormat="false" ht="15" hidden="false" customHeight="false" outlineLevel="0" collapsed="false">
      <c r="A4" s="6" t="s">
        <v>27</v>
      </c>
      <c r="B4" s="6" t="s">
        <v>199</v>
      </c>
      <c r="C4" s="6" t="s">
        <v>200</v>
      </c>
      <c r="D4" s="6" t="s">
        <v>201</v>
      </c>
      <c r="E4" s="6" t="s">
        <v>34</v>
      </c>
      <c r="F4" s="6" t="s">
        <v>36</v>
      </c>
      <c r="G4" s="6" t="s">
        <v>37</v>
      </c>
      <c r="H4" s="6" t="s">
        <v>38</v>
      </c>
    </row>
    <row r="5" customFormat="false" ht="15" hidden="false" customHeight="false" outlineLevel="0" collapsed="false">
      <c r="A5" s="2" t="s">
        <v>202</v>
      </c>
      <c r="B5" s="2" t="s">
        <v>203</v>
      </c>
      <c r="C5" s="2" t="s">
        <v>204</v>
      </c>
      <c r="D5" s="7" t="n">
        <v>100</v>
      </c>
      <c r="E5" s="7" t="n">
        <v>108</v>
      </c>
      <c r="F5" s="8" t="n">
        <f aca="false">IF(E5&gt;0,D5/E5,"")</f>
        <v>0.925925925925926</v>
      </c>
      <c r="G5" s="8" t="n">
        <f aca="false">IF(E5&gt;0,MAX(0,((D5/E5)+1.959964^2/(2*E5))/(1+1.959964^2/E5)-(1.959964*SQRT((D5/E5)*(1-D5/E5)/E5+1.959964^2/(4*E5^2)))/(1+1.959964^2/E5)),"")</f>
        <v>0.860603237902448</v>
      </c>
      <c r="H5" s="8" t="n">
        <f aca="false">IF(E5&gt;0,MIN(1,((D5/E5)+1.959964^2/(2*E5))/(1+1.959964^2/E5)+(1.959964*SQRT((D5/E5)*(1-D5/E5)/E5+1.959964^2/(4*E5^2)))/(1+1.959964^2/E5)),"")</f>
        <v>0.961989751497351</v>
      </c>
    </row>
    <row r="6" customFormat="false" ht="15" hidden="false" customHeight="false" outlineLevel="0" collapsed="false">
      <c r="A6" s="2" t="s">
        <v>202</v>
      </c>
      <c r="B6" s="2" t="s">
        <v>203</v>
      </c>
      <c r="C6" s="2" t="s">
        <v>205</v>
      </c>
      <c r="D6" s="7" t="n">
        <v>81</v>
      </c>
      <c r="E6" s="7" t="n">
        <v>108</v>
      </c>
      <c r="F6" s="8" t="n">
        <f aca="false">IF(E6&gt;0,D6/E6,"")</f>
        <v>0.75</v>
      </c>
      <c r="G6" s="8" t="n">
        <f aca="false">IF(E6&gt;0,MAX(0,((D6/E6)+1.959964^2/(2*E6))/(1+1.959964^2/E6)-(1.959964*SQRT((D6/E6)*(1-D6/E6)/E6+1.959964^2/(4*E6^2)))/(1+1.959964^2/E6)),"")</f>
        <v>0.660704648157573</v>
      </c>
      <c r="H6" s="8" t="n">
        <f aca="false">IF(E6&gt;0,MIN(1,((D6/E6)+1.959964^2/(2*E6))/(1+1.959964^2/E6)+(1.959964*SQRT((D6/E6)*(1-D6/E6)/E6+1.959964^2/(4*E6^2)))/(1+1.959964^2/E6)),"")</f>
        <v>0.822121671707527</v>
      </c>
    </row>
    <row r="7" customFormat="false" ht="15" hidden="false" customHeight="false" outlineLevel="0" collapsed="false">
      <c r="A7" s="2" t="s">
        <v>206</v>
      </c>
      <c r="B7" s="2" t="s">
        <v>207</v>
      </c>
      <c r="C7" s="2" t="s">
        <v>204</v>
      </c>
      <c r="D7" s="7" t="n">
        <v>96294</v>
      </c>
      <c r="E7" s="7" t="n">
        <v>164549</v>
      </c>
      <c r="F7" s="8" t="n">
        <f aca="false">IF(E7&gt;0,D7/E7,"")</f>
        <v>0.585199545424159</v>
      </c>
      <c r="G7" s="8" t="n">
        <f aca="false">IF(E7&gt;0,MAX(0,((D7/E7)+1.959964^2/(2*E7))/(1+1.959964^2/E7)-(1.959964*SQRT((D7/E7)*(1-D7/E7)/E7+1.959964^2/(4*E7^2)))/(1+1.959964^2/E7)),"")</f>
        <v>0.582817062105465</v>
      </c>
      <c r="H7" s="8" t="n">
        <f aca="false">IF(E7&gt;0,MIN(1,((D7/E7)+1.959964^2/(2*E7))/(1+1.959964^2/E7)+(1.959964*SQRT((D7/E7)*(1-D7/E7)/E7+1.959964^2/(4*E7^2)))/(1+1.959964^2/E7)),"")</f>
        <v>0.587578050804247</v>
      </c>
    </row>
    <row r="8" customFormat="false" ht="15" hidden="false" customHeight="false" outlineLevel="0" collapsed="false">
      <c r="A8" s="2" t="s">
        <v>206</v>
      </c>
      <c r="B8" s="2" t="s">
        <v>207</v>
      </c>
      <c r="C8" s="2" t="s">
        <v>205</v>
      </c>
      <c r="D8" s="7" t="n">
        <v>138287</v>
      </c>
      <c r="E8" s="7" t="n">
        <v>164549</v>
      </c>
      <c r="F8" s="8" t="n">
        <f aca="false">IF(E8&gt;0,D8/E8,"")</f>
        <v>0.840400123975229</v>
      </c>
      <c r="G8" s="8" t="n">
        <f aca="false">IF(E8&gt;0,MAX(0,((D8/E8)+1.959964^2/(2*E8))/(1+1.959964^2/E8)-(1.959964*SQRT((D8/E8)*(1-D8/E8)/E8+1.959964^2/(4*E8^2)))/(1+1.959964^2/E8)),"")</f>
        <v>0.83862264258459</v>
      </c>
      <c r="H8" s="8" t="n">
        <f aca="false">IF(E8&gt;0,MIN(1,((D8/E8)+1.959964^2/(2*E8))/(1+1.959964^2/E8)+(1.959964*SQRT((D8/E8)*(1-D8/E8)/E8+1.959964^2/(4*E8^2)))/(1+1.959964^2/E8)),"")</f>
        <v>0.842161712196624</v>
      </c>
    </row>
    <row r="9" customFormat="false" ht="15" hidden="false" customHeight="false" outlineLevel="0" collapsed="false">
      <c r="A9" s="2" t="s">
        <v>206</v>
      </c>
      <c r="B9" s="2" t="s">
        <v>208</v>
      </c>
      <c r="C9" s="2" t="s">
        <v>204</v>
      </c>
      <c r="D9" s="7" t="n">
        <v>123905</v>
      </c>
      <c r="E9" s="7" t="n">
        <v>164549</v>
      </c>
      <c r="F9" s="8" t="n">
        <f aca="false">IF(E9&gt;0,D9/E9,"")</f>
        <v>0.752997587344803</v>
      </c>
      <c r="G9" s="8" t="n">
        <f aca="false">IF(E9&gt;0,MAX(0,((D9/E9)+1.959964^2/(2*E9))/(1+1.959964^2/E9)-(1.959964*SQRT((D9/E9)*(1-D9/E9)/E9+1.959964^2/(4*E9^2)))/(1+1.959964^2/E9)),"")</f>
        <v>0.750907936324527</v>
      </c>
      <c r="H9" s="8" t="n">
        <f aca="false">IF(E9&gt;0,MIN(1,((D9/E9)+1.959964^2/(2*E9))/(1+1.959964^2/E9)+(1.959964*SQRT((D9/E9)*(1-D9/E9)/E9+1.959964^2/(4*E9^2)))/(1+1.959964^2/E9)),"")</f>
        <v>0.755075425991373</v>
      </c>
    </row>
    <row r="10" customFormat="false" ht="15" hidden="false" customHeight="false" outlineLevel="0" collapsed="false">
      <c r="A10" s="2" t="s">
        <v>206</v>
      </c>
      <c r="B10" s="2" t="s">
        <v>209</v>
      </c>
      <c r="C10" s="2" t="s">
        <v>204</v>
      </c>
      <c r="D10" s="7" t="n">
        <v>162574</v>
      </c>
      <c r="E10" s="7" t="n">
        <v>164549</v>
      </c>
      <c r="F10" s="8" t="n">
        <f aca="false">IF(E10&gt;0,D10/E10,"")</f>
        <v>0.987997496186546</v>
      </c>
      <c r="G10" s="8" t="n">
        <f aca="false">IF(E10&gt;0,MAX(0,((D10/E10)+1.959964^2/(2*E10))/(1+1.959964^2/E10)-(1.959964*SQRT((D10/E10)*(1-D10/E10)/E10+1.959964^2/(4*E10^2)))/(1+1.959964^2/E10)),"")</f>
        <v>0.987459831041328</v>
      </c>
      <c r="H10" s="8" t="n">
        <f aca="false">IF(E10&gt;0,MIN(1,((D10/E10)+1.959964^2/(2*E10))/(1+1.959964^2/E10)+(1.959964*SQRT((D10/E10)*(1-D10/E10)/E10+1.959964^2/(4*E10^2)))/(1+1.959964^2/E10)),"")</f>
        <v>0.988512376890012</v>
      </c>
    </row>
    <row r="11" customFormat="false" ht="15" hidden="false" customHeight="false" outlineLevel="0" collapsed="false">
      <c r="A11" s="2" t="s">
        <v>206</v>
      </c>
      <c r="B11" s="2" t="s">
        <v>210</v>
      </c>
      <c r="C11" s="2" t="s">
        <v>204</v>
      </c>
      <c r="D11" s="7" t="n">
        <v>160764</v>
      </c>
      <c r="E11" s="7" t="n">
        <v>164549</v>
      </c>
      <c r="F11" s="8" t="n">
        <f aca="false">IF(E11&gt;0,D11/E11,"")</f>
        <v>0.976997733198014</v>
      </c>
      <c r="G11" s="8" t="n">
        <f aca="false">IF(E11&gt;0,MAX(0,((D11/E11)+1.959964^2/(2*E11))/(1+1.959964^2/E11)-(1.959964*SQRT((D11/E11)*(1-D11/E11)/E11+1.959964^2/(4*E11^2)))/(1+1.959964^2/E11)),"")</f>
        <v>0.976262197142263</v>
      </c>
      <c r="H11" s="8" t="n">
        <f aca="false">IF(E11&gt;0,MIN(1,((D11/E11)+1.959964^2/(2*E11))/(1+1.959964^2/E11)+(1.959964*SQRT((D11/E11)*(1-D11/E11)/E11+1.959964^2/(4*E11^2)))/(1+1.959964^2/E11)),"")</f>
        <v>0.977710998387309</v>
      </c>
    </row>
    <row r="12" customFormat="false" ht="15" hidden="false" customHeight="false" outlineLevel="0" collapsed="false">
      <c r="A12" s="2" t="s">
        <v>206</v>
      </c>
      <c r="B12" s="2" t="s">
        <v>211</v>
      </c>
      <c r="C12" s="2" t="s">
        <v>205</v>
      </c>
      <c r="D12" s="7" t="n">
        <v>161423</v>
      </c>
      <c r="E12" s="7" t="n">
        <v>164549</v>
      </c>
      <c r="F12" s="8" t="n">
        <f aca="false">IF(E12&gt;0,D12/E12,"")</f>
        <v>0.981002619280579</v>
      </c>
      <c r="G12" s="8" t="n">
        <f aca="false">IF(E12&gt;0,MAX(0,((D12/E12)+1.959964^2/(2*E12))/(1+1.959964^2/E12)-(1.959964*SQRT((D12/E12)*(1-D12/E12)/E12+1.959964^2/(4*E12^2)))/(1+1.959964^2/E12)),"")</f>
        <v>0.980331699790665</v>
      </c>
      <c r="H12" s="8" t="n">
        <f aca="false">IF(E12&gt;0,MIN(1,((D12/E12)+1.959964^2/(2*E12))/(1+1.959964^2/E12)+(1.959964*SQRT((D12/E12)*(1-D12/E12)/E12+1.959964^2/(4*E12^2)))/(1+1.959964^2/E12)),"")</f>
        <v>0.98165108091723</v>
      </c>
    </row>
    <row r="13" customFormat="false" ht="15" hidden="false" customHeight="false" outlineLevel="0" collapsed="false">
      <c r="A13" s="2" t="s">
        <v>206</v>
      </c>
      <c r="B13" s="2" t="s">
        <v>212</v>
      </c>
      <c r="C13" s="2" t="s">
        <v>205</v>
      </c>
      <c r="D13" s="7" t="n">
        <v>162245</v>
      </c>
      <c r="E13" s="7" t="n">
        <v>164549</v>
      </c>
      <c r="F13" s="8" t="n">
        <f aca="false">IF(E13&gt;0,D13/E13,"")</f>
        <v>0.985998091753824</v>
      </c>
      <c r="G13" s="8" t="n">
        <f aca="false">IF(E13&gt;0,MAX(0,((D13/E13)+1.959964^2/(2*E13))/(1+1.959964^2/E13)-(1.959964*SQRT((D13/E13)*(1-D13/E13)/E13+1.959964^2/(4*E13^2)))/(1+1.959964^2/E13)),"")</f>
        <v>0.985418922186944</v>
      </c>
      <c r="H13" s="8" t="n">
        <f aca="false">IF(E13&gt;0,MIN(1,((D13/E13)+1.959964^2/(2*E13))/(1+1.959964^2/E13)+(1.959964*SQRT((D13/E13)*(1-D13/E13)/E13+1.959964^2/(4*E13^2)))/(1+1.959964^2/E13)),"")</f>
        <v>0.986554570230482</v>
      </c>
    </row>
    <row r="14" customFormat="false" ht="15" hidden="false" customHeight="false" outlineLevel="0" collapsed="false">
      <c r="A14" s="2" t="s">
        <v>206</v>
      </c>
      <c r="B14" s="2" t="s">
        <v>213</v>
      </c>
      <c r="C14" s="2" t="s">
        <v>205</v>
      </c>
      <c r="D14" s="7" t="n">
        <v>163068</v>
      </c>
      <c r="E14" s="7" t="n">
        <v>164549</v>
      </c>
      <c r="F14" s="8" t="n">
        <f aca="false">IF(E14&gt;0,D14/E14,"")</f>
        <v>0.99099964144419</v>
      </c>
      <c r="G14" s="8" t="n">
        <f aca="false">IF(E14&gt;0,MAX(0,((D14/E14)+1.959964^2/(2*E14))/(1+1.959964^2/E14)-(1.959964*SQRT((D14/E14)*(1-D14/E14)/E14+1.959964^2/(4*E14^2)))/(1+1.959964^2/E14)),"")</f>
        <v>0.990531723023878</v>
      </c>
      <c r="H14" s="8" t="n">
        <f aca="false">IF(E14&gt;0,MIN(1,((D14/E14)+1.959964^2/(2*E14))/(1+1.959964^2/E14)+(1.959964*SQRT((D14/E14)*(1-D14/E14)/E14+1.959964^2/(4*E14^2)))/(1+1.959964^2/E14)),"")</f>
        <v>0.991444635253579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9" min="7" style="0" width="12"/>
  </cols>
  <sheetData>
    <row r="1" customFormat="false" ht="15" hidden="false" customHeight="false" outlineLevel="0" collapsed="false">
      <c r="A1" s="4" t="s">
        <v>214</v>
      </c>
    </row>
    <row r="2" customFormat="false" ht="15" hidden="false" customHeight="false" outlineLevel="0" collapsed="false">
      <c r="A2" s="5" t="s">
        <v>215</v>
      </c>
    </row>
    <row r="4" customFormat="false" ht="15" hidden="false" customHeight="false" outlineLevel="0" collapsed="false">
      <c r="A4" s="6" t="s">
        <v>216</v>
      </c>
      <c r="B4" s="6" t="s">
        <v>217</v>
      </c>
      <c r="C4" s="6" t="s">
        <v>29</v>
      </c>
      <c r="D4" s="6" t="s">
        <v>218</v>
      </c>
      <c r="E4" s="6" t="s">
        <v>219</v>
      </c>
      <c r="F4" s="6" t="s">
        <v>220</v>
      </c>
      <c r="G4" s="6" t="s">
        <v>36</v>
      </c>
      <c r="H4" s="6" t="s">
        <v>37</v>
      </c>
      <c r="I4" s="6" t="s">
        <v>38</v>
      </c>
    </row>
    <row r="5" customFormat="false" ht="15" hidden="false" customHeight="false" outlineLevel="0" collapsed="false">
      <c r="A5" s="2" t="s">
        <v>221</v>
      </c>
      <c r="B5" s="2" t="s">
        <v>222</v>
      </c>
      <c r="C5" s="2" t="s">
        <v>223</v>
      </c>
      <c r="D5" s="7" t="n">
        <v>349</v>
      </c>
      <c r="E5" s="7" t="n">
        <v>208</v>
      </c>
      <c r="F5" s="2"/>
      <c r="G5" s="8" t="n">
        <f aca="false">IF(D5&gt;0,E5/D5,"")</f>
        <v>0.595988538681949</v>
      </c>
      <c r="H5" s="8" t="n">
        <f aca="false">IF(D5&gt;0,MAX(0,((E5/D5)+1.959964^2/(2*D5))/(1+1.959964^2/D5)-(1.959964*SQRT((E5/D5)*(1-E5/D5)/D5+1.959964^2/(4*D5^2)))/(1+1.959964^2/D5)),"")</f>
        <v>0.543732340890719</v>
      </c>
      <c r="I5" s="8" t="n">
        <f aca="false">IF(D5&gt;0,MIN(1,((E5/D5)+1.959964^2/(2*D5))/(1+1.959964^2/D5)+(1.959964*SQRT((E5/D5)*(1-E5/D5)/D5+1.959964^2/(4*D5^2)))/(1+1.959964^2/D5)),"")</f>
        <v>0.646154641813715</v>
      </c>
    </row>
    <row r="6" customFormat="false" ht="15" hidden="false" customHeight="false" outlineLevel="0" collapsed="false">
      <c r="A6" s="2" t="s">
        <v>221</v>
      </c>
      <c r="B6" s="2" t="s">
        <v>224</v>
      </c>
      <c r="C6" s="2" t="s">
        <v>223</v>
      </c>
      <c r="D6" s="7" t="n">
        <v>187</v>
      </c>
      <c r="E6" s="7" t="n">
        <v>162</v>
      </c>
      <c r="F6" s="2"/>
      <c r="G6" s="8" t="n">
        <f aca="false">IF(D6&gt;0,E6/D6,"")</f>
        <v>0.866310160427808</v>
      </c>
      <c r="H6" s="8" t="n">
        <f aca="false">IF(D6&gt;0,MAX(0,((E6/D6)+1.959964^2/(2*D6))/(1+1.959964^2/D6)-(1.959964*SQRT((E6/D6)*(1-E6/D6)/D6+1.959964^2/(4*D6^2)))/(1+1.959964^2/D6)),"")</f>
        <v>0.810093538365272</v>
      </c>
      <c r="I6" s="8" t="n">
        <f aca="false">IF(D6&gt;0,MIN(1,((E6/D6)+1.959964^2/(2*D6))/(1+1.959964^2/D6)+(1.959964*SQRT((E6/D6)*(1-E6/D6)/D6+1.959964^2/(4*D6^2)))/(1+1.959964^2/D6)),"")</f>
        <v>0.907779825227146</v>
      </c>
    </row>
    <row r="7" customFormat="false" ht="15" hidden="false" customHeight="false" outlineLevel="0" collapsed="false">
      <c r="A7" s="2" t="s">
        <v>225</v>
      </c>
      <c r="B7" s="2" t="s">
        <v>224</v>
      </c>
      <c r="C7" s="2" t="s">
        <v>226</v>
      </c>
      <c r="D7" s="7" t="n">
        <v>35</v>
      </c>
      <c r="E7" s="7" t="n">
        <v>35</v>
      </c>
      <c r="F7" s="2" t="n">
        <v>4</v>
      </c>
      <c r="G7" s="8" t="n">
        <f aca="false">IF(D7&gt;0,E7/D7,"")</f>
        <v>1</v>
      </c>
      <c r="H7" s="8" t="n">
        <f aca="false">IF(D7&gt;0,MAX(0,((E7/D7)+1.959964^2/(2*D7))/(1+1.959964^2/D7)-(1.959964*SQRT((E7/D7)*(1-E7/D7)/D7+1.959964^2/(4*D7^2)))/(1+1.959964^2/D7)),"")</f>
        <v>0.901099006269668</v>
      </c>
      <c r="I7" s="8" t="n">
        <f aca="false">IF(D7&gt;0,MIN(1,((E7/D7)+1.959964^2/(2*D7))/(1+1.959964^2/D7)+(1.959964*SQRT((E7/D7)*(1-E7/D7)/D7+1.959964^2/(4*D7^2)))/(1+1.959964^2/D7)),"")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227</v>
      </c>
    </row>
    <row r="2" customFormat="false" ht="15" hidden="false" customHeight="false" outlineLevel="0" collapsed="false">
      <c r="A2" s="5" t="s">
        <v>228</v>
      </c>
    </row>
    <row r="4" customFormat="false" ht="15" hidden="false" customHeight="false" outlineLevel="0" collapsed="false">
      <c r="A4" s="6" t="s">
        <v>229</v>
      </c>
      <c r="B4" s="6" t="s">
        <v>140</v>
      </c>
    </row>
    <row r="5" customFormat="false" ht="15" hidden="false" customHeight="false" outlineLevel="0" collapsed="false">
      <c r="A5" s="2" t="s">
        <v>230</v>
      </c>
      <c r="B5" s="2" t="n">
        <v>50.4</v>
      </c>
    </row>
    <row r="6" customFormat="false" ht="15" hidden="false" customHeight="false" outlineLevel="0" collapsed="false">
      <c r="A6" s="2" t="s">
        <v>231</v>
      </c>
      <c r="B6" s="2" t="n">
        <v>1.2</v>
      </c>
    </row>
    <row r="7" customFormat="false" ht="15" hidden="false" customHeight="false" outlineLevel="0" collapsed="false">
      <c r="A7" s="2" t="s">
        <v>232</v>
      </c>
      <c r="B7" s="2" t="n">
        <v>15.8</v>
      </c>
    </row>
    <row r="8" customFormat="false" ht="15" hidden="false" customHeight="false" outlineLevel="0" collapsed="false">
      <c r="A8" s="2" t="s">
        <v>233</v>
      </c>
      <c r="B8" s="2" t="n">
        <v>25.4</v>
      </c>
    </row>
    <row r="9" customFormat="false" ht="15" hidden="false" customHeight="false" outlineLevel="0" collapsed="false">
      <c r="A9" s="2" t="s">
        <v>234</v>
      </c>
      <c r="B9" s="2" t="n">
        <v>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235</v>
      </c>
    </row>
    <row r="2" customFormat="false" ht="15" hidden="false" customHeight="false" outlineLevel="0" collapsed="false">
      <c r="A2" s="5" t="s">
        <v>236</v>
      </c>
    </row>
    <row r="4" customFormat="false" ht="15" hidden="false" customHeight="false" outlineLevel="0" collapsed="false">
      <c r="A4" s="6" t="s">
        <v>237</v>
      </c>
      <c r="B4" s="6" t="s">
        <v>238</v>
      </c>
      <c r="C4" s="6" t="s">
        <v>239</v>
      </c>
      <c r="D4" s="6" t="s">
        <v>240</v>
      </c>
    </row>
    <row r="5" customFormat="false" ht="15" hidden="false" customHeight="false" outlineLevel="0" collapsed="false">
      <c r="A5" s="2" t="s">
        <v>241</v>
      </c>
      <c r="B5" s="2" t="s">
        <v>242</v>
      </c>
      <c r="C5" s="2" t="s">
        <v>243</v>
      </c>
      <c r="D5" s="2" t="s">
        <v>244</v>
      </c>
    </row>
    <row r="6" customFormat="false" ht="15" hidden="false" customHeight="false" outlineLevel="0" collapsed="false">
      <c r="A6" s="2" t="s">
        <v>245</v>
      </c>
      <c r="B6" s="2" t="s">
        <v>246</v>
      </c>
      <c r="C6" s="2" t="s">
        <v>243</v>
      </c>
      <c r="D6" s="2" t="s">
        <v>247</v>
      </c>
    </row>
    <row r="7" customFormat="false" ht="15" hidden="false" customHeight="false" outlineLevel="0" collapsed="false">
      <c r="A7" s="2" t="s">
        <v>248</v>
      </c>
      <c r="B7" s="2" t="s">
        <v>249</v>
      </c>
      <c r="C7" s="2" t="s">
        <v>243</v>
      </c>
      <c r="D7" s="2" t="s">
        <v>250</v>
      </c>
    </row>
    <row r="8" customFormat="false" ht="15" hidden="false" customHeight="false" outlineLevel="0" collapsed="false">
      <c r="A8" s="2" t="s">
        <v>251</v>
      </c>
      <c r="B8" s="2" t="s">
        <v>252</v>
      </c>
      <c r="C8" s="2" t="s">
        <v>243</v>
      </c>
      <c r="D8" s="2" t="s">
        <v>253</v>
      </c>
    </row>
    <row r="9" customFormat="false" ht="15" hidden="false" customHeight="false" outlineLevel="0" collapsed="false">
      <c r="A9" s="2" t="s">
        <v>254</v>
      </c>
      <c r="B9" s="2" t="s">
        <v>255</v>
      </c>
      <c r="C9" s="2" t="s">
        <v>243</v>
      </c>
      <c r="D9" s="2" t="s">
        <v>256</v>
      </c>
    </row>
    <row r="10" customFormat="false" ht="15" hidden="false" customHeight="false" outlineLevel="0" collapsed="false">
      <c r="A10" s="2" t="s">
        <v>257</v>
      </c>
      <c r="B10" s="2" t="s">
        <v>258</v>
      </c>
      <c r="C10" s="2" t="s">
        <v>259</v>
      </c>
      <c r="D10" s="2" t="s">
        <v>260</v>
      </c>
    </row>
    <row r="11" customFormat="false" ht="15" hidden="false" customHeight="false" outlineLevel="0" collapsed="false">
      <c r="A11" s="2" t="s">
        <v>261</v>
      </c>
      <c r="B11" s="2" t="s">
        <v>262</v>
      </c>
      <c r="C11" s="2" t="s">
        <v>243</v>
      </c>
      <c r="D11" s="2" t="s">
        <v>263</v>
      </c>
    </row>
    <row r="12" customFormat="false" ht="15" hidden="false" customHeight="false" outlineLevel="0" collapsed="false">
      <c r="A12" s="2" t="s">
        <v>264</v>
      </c>
      <c r="B12" s="2" t="s">
        <v>265</v>
      </c>
      <c r="C12" s="2" t="s">
        <v>243</v>
      </c>
      <c r="D12" s="2" t="s">
        <v>266</v>
      </c>
    </row>
    <row r="13" customFormat="false" ht="15" hidden="false" customHeight="false" outlineLevel="0" collapsed="false">
      <c r="A13" s="2" t="s">
        <v>267</v>
      </c>
      <c r="B13" s="2" t="s">
        <v>268</v>
      </c>
      <c r="C13" s="2" t="s">
        <v>243</v>
      </c>
      <c r="D13" s="2" t="s">
        <v>269</v>
      </c>
    </row>
    <row r="14" customFormat="false" ht="15" hidden="false" customHeight="false" outlineLevel="0" collapsed="false">
      <c r="A14" s="2" t="s">
        <v>270</v>
      </c>
      <c r="B14" s="2" t="s">
        <v>271</v>
      </c>
      <c r="C14" s="2" t="s">
        <v>243</v>
      </c>
      <c r="D14" s="2" t="s">
        <v>272</v>
      </c>
    </row>
    <row r="15" customFormat="false" ht="15" hidden="false" customHeight="false" outlineLevel="0" collapsed="false">
      <c r="A15" s="2" t="s">
        <v>273</v>
      </c>
      <c r="B15" s="2" t="s">
        <v>274</v>
      </c>
      <c r="C15" s="2" t="s">
        <v>275</v>
      </c>
      <c r="D15" s="2" t="s">
        <v>276</v>
      </c>
    </row>
    <row r="16" customFormat="false" ht="15" hidden="false" customHeight="false" outlineLevel="0" collapsed="false">
      <c r="A16" s="2" t="s">
        <v>277</v>
      </c>
      <c r="B16" s="2" t="s">
        <v>278</v>
      </c>
      <c r="C16" s="2" t="s">
        <v>279</v>
      </c>
      <c r="D16" s="2" t="s">
        <v>280</v>
      </c>
    </row>
    <row r="17" customFormat="false" ht="15" hidden="false" customHeight="false" outlineLevel="0" collapsed="false">
      <c r="A17" s="2" t="s">
        <v>281</v>
      </c>
      <c r="B17" s="2" t="s">
        <v>282</v>
      </c>
      <c r="C17" s="2" t="s">
        <v>279</v>
      </c>
      <c r="D17" s="2" t="s">
        <v>283</v>
      </c>
    </row>
    <row r="18" customFormat="false" ht="15" hidden="false" customHeight="false" outlineLevel="0" collapsed="false">
      <c r="A18" s="2" t="s">
        <v>284</v>
      </c>
      <c r="B18" s="2" t="s">
        <v>285</v>
      </c>
      <c r="C18" s="2" t="s">
        <v>279</v>
      </c>
      <c r="D18" s="2" t="s">
        <v>286</v>
      </c>
    </row>
    <row r="19" customFormat="false" ht="15" hidden="false" customHeight="false" outlineLevel="0" collapsed="false">
      <c r="A19" s="2" t="s">
        <v>287</v>
      </c>
      <c r="B19" s="2" t="s">
        <v>288</v>
      </c>
      <c r="C19" s="2" t="s">
        <v>279</v>
      </c>
      <c r="D19" s="2" t="s">
        <v>289</v>
      </c>
    </row>
    <row r="20" customFormat="false" ht="15" hidden="false" customHeight="false" outlineLevel="0" collapsed="false">
      <c r="A20" s="2" t="s">
        <v>290</v>
      </c>
      <c r="B20" s="2" t="s">
        <v>291</v>
      </c>
      <c r="C20" s="2" t="s">
        <v>279</v>
      </c>
      <c r="D20" s="2" t="s">
        <v>292</v>
      </c>
    </row>
    <row r="21" customFormat="false" ht="15" hidden="false" customHeight="false" outlineLevel="0" collapsed="false">
      <c r="A21" s="2" t="s">
        <v>293</v>
      </c>
      <c r="B21" s="2" t="s">
        <v>294</v>
      </c>
      <c r="C21" s="2" t="s">
        <v>295</v>
      </c>
      <c r="D21" s="2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16"/>
    <col collapsed="false" customWidth="true" hidden="false" outlineLevel="0" max="9" min="7" style="0" width="12"/>
  </cols>
  <sheetData>
    <row r="1" customFormat="false" ht="15" hidden="false" customHeight="false" outlineLevel="0" collapsed="false">
      <c r="A1" s="4" t="s">
        <v>297</v>
      </c>
    </row>
    <row r="2" customFormat="false" ht="15" hidden="false" customHeight="false" outlineLevel="0" collapsed="false">
      <c r="A2" s="5" t="s">
        <v>298</v>
      </c>
    </row>
    <row r="3" customFormat="false" ht="15" hidden="false" customHeight="false" outlineLevel="0" collapsed="false">
      <c r="A3" s="5" t="s">
        <v>299</v>
      </c>
    </row>
    <row r="4" customFormat="false" ht="15" hidden="false" customHeight="false" outlineLevel="0" collapsed="false">
      <c r="A4" s="6" t="s">
        <v>89</v>
      </c>
      <c r="B4" s="6" t="s">
        <v>91</v>
      </c>
      <c r="C4" s="6" t="s">
        <v>92</v>
      </c>
      <c r="D4" s="6" t="s">
        <v>300</v>
      </c>
      <c r="E4" s="6" t="s">
        <v>301</v>
      </c>
      <c r="F4" s="6" t="s">
        <v>302</v>
      </c>
      <c r="G4" s="6" t="s">
        <v>36</v>
      </c>
      <c r="H4" s="6" t="s">
        <v>37</v>
      </c>
      <c r="I4" s="6" t="s">
        <v>38</v>
      </c>
    </row>
    <row r="5" customFormat="false" ht="15" hidden="false" customHeight="false" outlineLevel="0" collapsed="false">
      <c r="A5" s="2" t="n">
        <v>2012</v>
      </c>
      <c r="B5" s="7" t="n">
        <v>2</v>
      </c>
      <c r="C5" s="7" t="n">
        <v>94</v>
      </c>
      <c r="D5" s="2" t="n">
        <v>0.0213</v>
      </c>
      <c r="E5" s="2" t="n">
        <v>0.0325</v>
      </c>
      <c r="F5" s="2" t="n">
        <v>0.0325</v>
      </c>
      <c r="G5" s="8" t="n">
        <f aca="false">IF(C5&gt;0,B5/C5,"")</f>
        <v>0.0212765957446809</v>
      </c>
      <c r="H5" s="8" t="n">
        <f aca="false">IF(C5&gt;0,MAX(0,((B5/C5)+1.959964^2/(2*C5))/(1+1.959964^2/C5)-(1.959964*SQRT((B5/C5)*(1-B5/C5)/C5+1.959964^2/(4*C5^2)))/(1+1.959964^2/C5)),"")</f>
        <v>0.00585433618649745</v>
      </c>
      <c r="I5" s="8" t="n">
        <f aca="false">IF(C5&gt;0,MIN(1,((B5/C5)+1.959964^2/(2*C5))/(1+1.959964^2/C5)+(1.959964*SQRT((B5/C5)*(1-B5/C5)/C5+1.959964^2/(4*C5^2)))/(1+1.959964^2/C5)),"")</f>
        <v>0.0742902055134529</v>
      </c>
    </row>
    <row r="6" customFormat="false" ht="15" hidden="false" customHeight="false" outlineLevel="0" collapsed="false">
      <c r="A6" s="2" t="n">
        <v>2013</v>
      </c>
      <c r="B6" s="7" t="n">
        <v>12</v>
      </c>
      <c r="C6" s="7" t="n">
        <v>301</v>
      </c>
      <c r="D6" s="2" t="n">
        <v>0.0399</v>
      </c>
      <c r="E6" s="2" t="n">
        <v>0.0359</v>
      </c>
      <c r="F6" s="2" t="n">
        <v>0.0359</v>
      </c>
      <c r="G6" s="8" t="n">
        <f aca="false">IF(C6&gt;0,B6/C6,"")</f>
        <v>0.0398671096345515</v>
      </c>
      <c r="H6" s="8" t="n">
        <f aca="false">IF(C6&gt;0,MAX(0,((B6/C6)+1.959964^2/(2*C6))/(1+1.959964^2/C6)-(1.959964*SQRT((B6/C6)*(1-B6/C6)/C6+1.959964^2/(4*C6^2)))/(1+1.959964^2/C6)),"")</f>
        <v>0.0229503316297631</v>
      </c>
      <c r="I6" s="8" t="n">
        <f aca="false">IF(C6&gt;0,MIN(1,((B6/C6)+1.959964^2/(2*C6))/(1+1.959964^2/C6)+(1.959964*SQRT((B6/C6)*(1-B6/C6)/C6+1.959964^2/(4*C6^2)))/(1+1.959964^2/C6)),"")</f>
        <v>0.0683806145724638</v>
      </c>
    </row>
    <row r="7" customFormat="false" ht="15" hidden="false" customHeight="false" outlineLevel="0" collapsed="false">
      <c r="A7" s="2" t="n">
        <v>2014</v>
      </c>
      <c r="B7" s="7" t="n">
        <v>14</v>
      </c>
      <c r="C7" s="7" t="n">
        <v>334</v>
      </c>
      <c r="D7" s="2" t="n">
        <v>0.0419</v>
      </c>
      <c r="E7" s="2" t="n">
        <v>0.0396</v>
      </c>
      <c r="F7" s="2" t="n">
        <v>0.0396</v>
      </c>
      <c r="G7" s="8" t="n">
        <f aca="false">IF(C7&gt;0,B7/C7,"")</f>
        <v>0.0419161676646707</v>
      </c>
      <c r="H7" s="8" t="n">
        <f aca="false">IF(C7&gt;0,MAX(0,((B7/C7)+1.959964^2/(2*C7))/(1+1.959964^2/C7)-(1.959964*SQRT((B7/C7)*(1-B7/C7)/C7+1.959964^2/(4*C7^2)))/(1+1.959964^2/C7)),"")</f>
        <v>0.0251302070065154</v>
      </c>
      <c r="I7" s="8" t="n">
        <f aca="false">IF(C7&gt;0,MIN(1,((B7/C7)+1.959964^2/(2*C7))/(1+1.959964^2/C7)+(1.959964*SQRT((B7/C7)*(1-B7/C7)/C7+1.959964^2/(4*C7^2)))/(1+1.959964^2/C7)),"")</f>
        <v>0.0691195010865455</v>
      </c>
    </row>
    <row r="8" customFormat="false" ht="15" hidden="false" customHeight="false" outlineLevel="0" collapsed="false">
      <c r="A8" s="2" t="n">
        <v>2015</v>
      </c>
      <c r="B8" s="7" t="n">
        <v>8</v>
      </c>
      <c r="C8" s="7" t="n">
        <v>204</v>
      </c>
      <c r="D8" s="2" t="n">
        <v>0.0392</v>
      </c>
      <c r="E8" s="2" t="n">
        <v>0.0437</v>
      </c>
      <c r="F8" s="2" t="n">
        <v>0.0437</v>
      </c>
      <c r="G8" s="8" t="n">
        <f aca="false">IF(C8&gt;0,B8/C8,"")</f>
        <v>0.0392156862745098</v>
      </c>
      <c r="H8" s="8" t="n">
        <f aca="false">IF(C8&gt;0,MAX(0,((B8/C8)+1.959964^2/(2*C8))/(1+1.959964^2/C8)-(1.959964*SQRT((B8/C8)*(1-B8/C8)/C8+1.959964^2/(4*C8^2)))/(1+1.959964^2/C8)),"")</f>
        <v>0.0200028537807604</v>
      </c>
      <c r="I8" s="8" t="n">
        <f aca="false">IF(C8&gt;0,MIN(1,((B8/C8)+1.959964^2/(2*C8))/(1+1.959964^2/C8)+(1.959964*SQRT((B8/C8)*(1-B8/C8)/C8+1.959964^2/(4*C8^2)))/(1+1.959964^2/C8)),"")</f>
        <v>0.0754615400321603</v>
      </c>
    </row>
    <row r="9" customFormat="false" ht="15" hidden="false" customHeight="false" outlineLevel="0" collapsed="false">
      <c r="A9" s="2" t="n">
        <v>2016</v>
      </c>
      <c r="B9" s="7" t="n">
        <v>53</v>
      </c>
      <c r="C9" s="7" t="n">
        <v>305</v>
      </c>
      <c r="D9" s="2" t="n">
        <v>0.1738</v>
      </c>
      <c r="E9" s="2" t="n">
        <v>0.1962</v>
      </c>
      <c r="F9" s="2" t="n">
        <v>0.0482</v>
      </c>
      <c r="G9" s="8" t="n">
        <f aca="false">IF(C9&gt;0,B9/C9,"")</f>
        <v>0.173770491803279</v>
      </c>
      <c r="H9" s="8" t="n">
        <f aca="false">IF(C9&gt;0,MAX(0,((B9/C9)+1.959964^2/(2*C9))/(1+1.959964^2/C9)-(1.959964*SQRT((B9/C9)*(1-B9/C9)/C9+1.959964^2/(4*C9^2)))/(1+1.959964^2/C9)),"")</f>
        <v>0.135374915575759</v>
      </c>
      <c r="I9" s="8" t="n">
        <f aca="false">IF(C9&gt;0,MIN(1,((B9/C9)+1.959964^2/(2*C9))/(1+1.959964^2/C9)+(1.959964*SQRT((B9/C9)*(1-B9/C9)/C9+1.959964^2/(4*C9^2)))/(1+1.959964^2/C9)),"")</f>
        <v>0.220281540908971</v>
      </c>
    </row>
    <row r="10" customFormat="false" ht="15" hidden="false" customHeight="false" outlineLevel="0" collapsed="false">
      <c r="A10" s="2" t="n">
        <v>2017</v>
      </c>
      <c r="B10" s="7" t="n">
        <v>74</v>
      </c>
      <c r="C10" s="7" t="n">
        <v>268</v>
      </c>
      <c r="D10" s="2" t="n">
        <v>0.2761</v>
      </c>
      <c r="E10" s="2" t="n">
        <v>0.225</v>
      </c>
      <c r="F10" s="2" t="n">
        <v>0.0531</v>
      </c>
      <c r="G10" s="8" t="n">
        <f aca="false">IF(C10&gt;0,B10/C10,"")</f>
        <v>0.276119402985075</v>
      </c>
      <c r="H10" s="8" t="n">
        <f aca="false">IF(C10&gt;0,MAX(0,((B10/C10)+1.959964^2/(2*C10))/(1+1.959964^2/C10)-(1.959964*SQRT((B10/C10)*(1-B10/C10)/C10+1.959964^2/(4*C10^2)))/(1+1.959964^2/C10)),"")</f>
        <v>0.226042837559822</v>
      </c>
      <c r="I10" s="8" t="n">
        <f aca="false">IF(C10&gt;0,MIN(1,((B10/C10)+1.959964^2/(2*C10))/(1+1.959964^2/C10)+(1.959964*SQRT((B10/C10)*(1-B10/C10)/C10+1.959964^2/(4*C10^2)))/(1+1.959964^2/C10)),"")</f>
        <v>0.332523392573604</v>
      </c>
    </row>
    <row r="11" customFormat="false" ht="15" hidden="false" customHeight="false" outlineLevel="0" collapsed="false">
      <c r="A11" s="2" t="n">
        <v>2018</v>
      </c>
      <c r="B11" s="7" t="n">
        <v>46</v>
      </c>
      <c r="C11" s="7" t="n">
        <v>206</v>
      </c>
      <c r="D11" s="2" t="n">
        <v>0.2233</v>
      </c>
      <c r="E11" s="2" t="n">
        <v>0.2566</v>
      </c>
      <c r="F11" s="2" t="n">
        <v>0.0585</v>
      </c>
      <c r="G11" s="8" t="n">
        <f aca="false">IF(C11&gt;0,B11/C11,"")</f>
        <v>0.223300970873786</v>
      </c>
      <c r="H11" s="8" t="n">
        <f aca="false">IF(C11&gt;0,MAX(0,((B11/C11)+1.959964^2/(2*C11))/(1+1.959964^2/C11)-(1.959964*SQRT((B11/C11)*(1-B11/C11)/C11+1.959964^2/(4*C11^2)))/(1+1.959964^2/C11)),"")</f>
        <v>0.171791704259035</v>
      </c>
      <c r="I11" s="8" t="n">
        <f aca="false">IF(C11&gt;0,MIN(1,((B11/C11)+1.959964^2/(2*C11))/(1+1.959964^2/C11)+(1.959964*SQRT((B11/C11)*(1-B11/C11)/C11+1.959964^2/(4*C11^2)))/(1+1.959964^2/C11)),"")</f>
        <v>0.284941009058175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2026-10-22T15:45:21Z</dcterms:created>
  <dc:creator>openpyxl</dc:creator>
  <dc:description/>
  <dc:language>en-US</dc:language>
  <cp:lastModifiedBy/>
  <dcterms:modified xsi:type="dcterms:W3CDTF">2026-10-22T15:45:21Z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